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CA DULU YUK! Panduan" sheetId="1" r:id="rId5"/>
    <sheet state="visible" name="Report" sheetId="2" r:id="rId6"/>
    <sheet state="visible" name="Summary" sheetId="3" r:id="rId7"/>
    <sheet state="visible" name="Budgeting" sheetId="4" r:id="rId8"/>
    <sheet state="visible" name="Spending" sheetId="5" r:id="rId9"/>
    <sheet state="visible" name="Assets" sheetId="6" r:id="rId10"/>
    <sheet state="hidden" name="Snapshot" sheetId="7" r:id="rId11"/>
    <sheet state="visible" name="⚙️Setup" sheetId="8" r:id="rId12"/>
  </sheets>
  <definedNames>
    <definedName localSheetId="5" name="StartingBalance">#REF!</definedName>
    <definedName hidden="1" localSheetId="4" name="Z_53BA1EB3_0CF0_4210_815D_FA06C24F5881_.wvu.FilterData">Spending!$B$6:$G$981</definedName>
  </definedNames>
  <calcPr/>
  <customWorkbookViews>
    <customWorkbookView activeSheetId="0" maximized="1" windowHeight="0" windowWidth="0" guid="{53BA1EB3-0CF0-4210-815D-FA06C24F5881}"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Ganti tanggal gajian di sheet ⚙️Setup I3</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
      <text>
        <t xml:space="preserve">Ceklis ini tidak memengaruhi formula lainnya.
Digunakan untuk mempermudah menandai transaksi yang sudah selesai aja.</t>
      </text>
    </comment>
    <comment authorId="0" ref="C6">
      <text>
        <t xml:space="preserve">Double click to show date picker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List akun untuk digunakan di sheet "Summary" - maksimal 3.</t>
      </text>
    </comment>
    <comment authorId="0" ref="G2">
      <text>
        <t xml:space="preserve">List akun untuk digunakan di sheet "Assets"</t>
      </text>
    </comment>
    <comment authorId="0" ref="H2">
      <text>
        <t xml:space="preserve">Jika mengganti nama bulan ini menjadi bahasa Indonesia, kamu juga perlu mengubah pengaturan sheet.
File &gt; Setting &gt; Locale &gt; Indonesia
</t>
      </text>
    </comment>
  </commentList>
</comments>
</file>

<file path=xl/sharedStrings.xml><?xml version="1.0" encoding="utf-8"?>
<sst xmlns="http://schemas.openxmlformats.org/spreadsheetml/2006/main" count="242" uniqueCount="152">
  <si>
    <t>Template Spreadsheet Kaluna - Home Sweet Loan</t>
  </si>
  <si>
    <t>BACA</t>
  </si>
  <si>
    <r>
      <rPr>
        <rFont val="Google Sans"/>
        <b/>
        <color rgb="FFFF0000"/>
        <sz val="11.0"/>
      </rPr>
      <t xml:space="preserve">Akses file master preview ini hanya view only. Pastikan untuk membuat duplikasi file terlebih dahulu: </t>
    </r>
    <r>
      <rPr>
        <rFont val="Google Sans"/>
        <color rgb="FFFF0000"/>
        <sz val="11.0"/>
      </rPr>
      <t xml:space="preserve">
</t>
    </r>
    <r>
      <rPr>
        <rFont val="Google Sans"/>
        <color theme="1"/>
        <sz val="11.0"/>
      </rPr>
      <t xml:space="preserve">
Desktop/laptop: Klik menu </t>
    </r>
    <r>
      <rPr>
        <rFont val="Google Sans"/>
        <b/>
        <color theme="1"/>
        <sz val="11.0"/>
      </rPr>
      <t xml:space="preserve">File &gt; Make a copy/Buat Salinan
</t>
    </r>
    <r>
      <rPr>
        <rFont val="Google Sans"/>
        <color theme="1"/>
        <sz val="11.0"/>
      </rPr>
      <t xml:space="preserve">Smartphone: Klik </t>
    </r>
    <r>
      <rPr>
        <rFont val="Google Sans"/>
        <b/>
        <color theme="1"/>
        <sz val="11.0"/>
      </rPr>
      <t>titik 3 pojok kanan &gt; share and export &gt; make a copy</t>
    </r>
    <r>
      <rPr>
        <rFont val="Google Sans"/>
        <color theme="1"/>
        <sz val="11.0"/>
      </rPr>
      <t xml:space="preserve">
</t>
    </r>
    <r>
      <rPr>
        <rFont val="Google Sans"/>
        <i/>
        <color theme="1"/>
        <sz val="11.0"/>
      </rPr>
      <t xml:space="preserve">Abaikan pesan ini jika saat klik link pertama kali kamu </t>
    </r>
    <r>
      <rPr>
        <rFont val="Google Sans"/>
        <i/>
        <color theme="1"/>
        <sz val="11.0"/>
        <u/>
      </rPr>
      <t>sudah membuat duplikasi file</t>
    </r>
    <r>
      <rPr>
        <rFont val="Google Sans"/>
        <i/>
        <color theme="1"/>
        <sz val="11.0"/>
      </rPr>
      <t>.</t>
    </r>
  </si>
  <si>
    <t>Month ➠</t>
  </si>
  <si>
    <t>Tentang:</t>
  </si>
  <si>
    <t>DULU</t>
  </si>
  <si>
    <r>
      <rPr>
        <rFont val="Google Sans"/>
        <color theme="1"/>
      </rPr>
      <t xml:space="preserve">Template Budgeting Google Sheet ini dirancang dengan beragam fitur yang lengkap dan efisien untuk membantu kamu merencanakan dan mengatur alokasi keuangan dengan mudah.
Dengan fitur-fitur yang komprehensif ini kamu dapat mengelola semua aset keuangan dalam satu file spreadsheet yang praktis.
</t>
    </r>
    <r>
      <rPr>
        <rFont val="Google Sans"/>
        <i/>
        <color theme="1"/>
      </rPr>
      <t>Informasi yang tertulis pada template yang diberikan hanya contoh dan silahkan sesuaikan isinya dengan kebutuhan kamu ya.</t>
    </r>
  </si>
  <si>
    <t>YUK!</t>
  </si>
  <si>
    <t>Panduan:</t>
  </si>
  <si>
    <r>
      <rPr>
        <rFont val="Google Sans"/>
        <b/>
        <color rgb="FF000000"/>
        <sz val="12.0"/>
      </rPr>
      <t xml:space="preserve">&gt;&gt; Format Video </t>
    </r>
    <r>
      <rPr>
        <rFont val="Google Sans"/>
        <b/>
        <color rgb="FFFF0000"/>
        <sz val="12.0"/>
        <u/>
      </rPr>
      <t>Di sini</t>
    </r>
    <r>
      <rPr>
        <rFont val="Google Sans"/>
        <b/>
        <color rgb="FFFF0000"/>
        <sz val="12.0"/>
      </rPr>
      <t xml:space="preserve"> </t>
    </r>
  </si>
  <si>
    <r>
      <rPr>
        <rFont val="Google Sans"/>
        <b/>
        <color rgb="FFD14D72"/>
        <sz val="15.0"/>
      </rPr>
      <t xml:space="preserve">1. </t>
    </r>
    <r>
      <rPr>
        <rFont val="Google Sans"/>
        <color rgb="FF000000"/>
        <sz val="10.0"/>
      </rPr>
      <t xml:space="preserve">Saat pertama kali menggunakan template ini, pastikan kamu menyesuaikan beberapa pengaturan umum pada sheet </t>
    </r>
    <r>
      <rPr>
        <rFont val="Google Sans"/>
        <b/>
        <color rgb="FF1155CC"/>
        <sz val="10.0"/>
        <u/>
      </rPr>
      <t>⚙️Setup</t>
    </r>
    <r>
      <rPr>
        <rFont val="Google Sans"/>
        <color rgb="FF000000"/>
        <sz val="10.0"/>
      </rPr>
      <t>. Ubah semua daftar yang tersedia berdasarkan preferensimu (</t>
    </r>
    <r>
      <rPr>
        <rFont val="Google Sans"/>
        <color rgb="FF000000"/>
        <sz val="10.0"/>
        <u/>
      </rPr>
      <t>selain daftar nama bulan</t>
    </r>
    <r>
      <rPr>
        <rFont val="Google Sans"/>
        <color rgb="FF000000"/>
        <sz val="10.0"/>
      </rPr>
      <t xml:space="preserve">).
                                      </t>
    </r>
  </si>
  <si>
    <r>
      <rPr>
        <rFont val="Google Sans"/>
        <b/>
        <color rgb="FFD14D72"/>
        <sz val="15.0"/>
      </rPr>
      <t xml:space="preserve">2. </t>
    </r>
    <r>
      <rPr>
        <rFont val="Google Sans"/>
        <color rgb="FF000000"/>
        <sz val="10.0"/>
      </rPr>
      <t xml:space="preserve">Setiap awal bulan, silahkan buat alokasi keuanganmu pada sheet </t>
    </r>
    <r>
      <rPr>
        <rFont val="Google Sans"/>
        <b/>
        <color rgb="FF1155CC"/>
        <sz val="10.0"/>
        <u/>
      </rPr>
      <t>Budgeting</t>
    </r>
    <r>
      <rPr>
        <rFont val="Google Sans"/>
        <b/>
        <color rgb="FF000000"/>
        <sz val="10.0"/>
      </rPr>
      <t xml:space="preserve"> </t>
    </r>
    <r>
      <rPr>
        <rFont val="Google Sans"/>
        <color rgb="FF000000"/>
        <sz val="10.0"/>
      </rPr>
      <t xml:space="preserve">sesuai kolom bulan berjalan. Selain baris total, semua nominal pada sheet budgeting perlu kamu input secara manual.
</t>
    </r>
  </si>
  <si>
    <r>
      <rPr>
        <rFont val="Google Sans"/>
        <b/>
        <color rgb="FFD14D72"/>
        <sz val="15.0"/>
      </rPr>
      <t xml:space="preserve">3. </t>
    </r>
    <r>
      <rPr>
        <rFont val="Google Sans"/>
        <color rgb="FF000000"/>
        <sz val="10.0"/>
      </rPr>
      <t xml:space="preserve">Ketika sudah mengisi semua nominal pada list pengeluaran di sheet Budgeting, kamu dapat melihat ringkasan alokasi keuangan yang sudah dibuat pada sheet </t>
    </r>
    <r>
      <rPr>
        <rFont val="Google Sans"/>
        <b/>
        <color rgb="FF1155CC"/>
        <sz val="10.0"/>
        <u/>
      </rPr>
      <t>Summary</t>
    </r>
    <r>
      <rPr>
        <rFont val="Google Sans"/>
        <color rgb="FF000000"/>
        <sz val="10.0"/>
      </rPr>
      <t xml:space="preserve">.
Hampir semua data pada sheet Summary sudah terisi otomatis. Kamu hanya cukup mengatur ulang list akun bank berdasarkan daftar pengeluaran pada kolom C.
Untuk melihat ulang budgeting bulan per bulan, kamu dapat memilih </t>
    </r>
    <r>
      <rPr>
        <rFont val="Google Sans"/>
        <b/>
        <color rgb="FF000000"/>
        <sz val="10.0"/>
      </rPr>
      <t>menu list daftar bulan</t>
    </r>
    <r>
      <rPr>
        <rFont val="Google Sans"/>
        <color rgb="FF000000"/>
        <sz val="10.0"/>
      </rPr>
      <t xml:space="preserve"> pada bagian atas.
</t>
    </r>
  </si>
  <si>
    <t>Income Sources</t>
  </si>
  <si>
    <t>⬅</t>
  </si>
  <si>
    <r>
      <rPr>
        <rFont val="Google Sans"/>
        <b/>
        <color rgb="FFD14D72"/>
        <sz val="15.0"/>
      </rPr>
      <t xml:space="preserve">4. </t>
    </r>
    <r>
      <rPr>
        <rFont val="Google Sans"/>
        <color rgb="FF000000"/>
        <sz val="10.0"/>
      </rPr>
      <t xml:space="preserve">Pada sheet </t>
    </r>
    <r>
      <rPr>
        <rFont val="Google Sans"/>
        <b/>
        <color rgb="FF1155CC"/>
        <sz val="10.0"/>
        <u/>
      </rPr>
      <t>Spending</t>
    </r>
    <r>
      <rPr>
        <rFont val="Google Sans"/>
        <color rgb="FF000000"/>
        <sz val="10.0"/>
      </rPr>
      <t xml:space="preserve">, kamu dapat membuat rekap transaksi per kategorinya. Rekap ini tidak perlu kamu buat setiap hari.  Pastikan juga untuk selalu menyesuaikan tanggal dan bulan transaksi agar data pengeluaran dapat direkap dengan benar.
Jika berganti bulan, silahkan </t>
    </r>
    <r>
      <rPr>
        <rFont val="Google Sans"/>
        <b/>
        <color rgb="FF000000"/>
        <sz val="10.0"/>
      </rPr>
      <t>lanjutkan membuat daftar pengeluaran di bawah</t>
    </r>
    <r>
      <rPr>
        <rFont val="Google Sans"/>
        <color rgb="FF000000"/>
        <sz val="10.0"/>
      </rPr>
      <t xml:space="preserve"> bulan sebelumnya. Cukup </t>
    </r>
    <r>
      <rPr>
        <rFont val="Google Sans"/>
        <b/>
        <color rgb="FF000000"/>
        <sz val="10.0"/>
      </rPr>
      <t>sesuaikan tanggal transaksinya</t>
    </r>
    <r>
      <rPr>
        <rFont val="Google Sans"/>
        <color rgb="FF000000"/>
        <sz val="10.0"/>
      </rPr>
      <t xml:space="preserve"> saja.
</t>
    </r>
    <r>
      <rPr>
        <rFont val="Google Sans"/>
        <color rgb="FFFF0000"/>
        <sz val="10.0"/>
      </rPr>
      <t xml:space="preserve">
</t>
    </r>
  </si>
  <si>
    <r>
      <rPr>
        <rFont val="Google Sans"/>
        <b/>
        <color rgb="FFD14D72"/>
        <sz val="15.0"/>
      </rPr>
      <t>5.</t>
    </r>
    <r>
      <rPr>
        <rFont val="Google Sans"/>
        <color rgb="FF000000"/>
        <sz val="10.0"/>
      </rPr>
      <t xml:space="preserve"> Kamu dapat dengan mudah rekap catatan keuangan setiap bulannya lewat sheet </t>
    </r>
    <r>
      <rPr>
        <rFont val="Google Sans"/>
        <b/>
        <color rgb="FF1155CC"/>
        <sz val="10.0"/>
        <u/>
      </rPr>
      <t>Report</t>
    </r>
    <r>
      <rPr>
        <rFont val="Google Sans"/>
        <color rgb="FF000000"/>
        <sz val="10.0"/>
      </rPr>
      <t xml:space="preserve">. Pada sheet ini tersedia beragam laporan seperti: total pemasukan, jumlah tabungan, dan uang yang dialokasikan setiap bulannya.
Kamu juga dapat dengan mudah melihat kembali ringkasan pengeluran per bulan, statistik pengeluaran berdasarkan kategori, serta status persentasi penggunaan uang berdasarkan alokasi budget yang sudah dibuat.
</t>
    </r>
  </si>
  <si>
    <r>
      <rPr>
        <rFont val="Google Sans"/>
        <b/>
        <color rgb="FFD14D72"/>
        <sz val="15.0"/>
      </rPr>
      <t xml:space="preserve">6. </t>
    </r>
    <r>
      <rPr>
        <rFont val="Google Sans"/>
      </rPr>
      <t xml:space="preserve">Sheet </t>
    </r>
    <r>
      <rPr>
        <rFont val="Google Sans"/>
        <b/>
        <color rgb="FF1155CC"/>
        <u/>
      </rPr>
      <t>Assets</t>
    </r>
    <r>
      <rPr>
        <rFont val="Google Sans"/>
      </rPr>
      <t xml:space="preserve"> berguna untuk mencatat semua total asset keuangan yang ada. Kamu bebas menambahkan sendiri assets dan tabungan berdasarkan kategori yang tersedia.
</t>
    </r>
  </si>
  <si>
    <r>
      <rPr>
        <rFont val="Google Sans"/>
        <b/>
        <color rgb="FFD14D72"/>
        <sz val="15.0"/>
      </rPr>
      <t xml:space="preserve">7. </t>
    </r>
    <r>
      <rPr>
        <rFont val="Google Sans"/>
        <color theme="1"/>
      </rPr>
      <t xml:space="preserve">Sheet Snapsot (hidden) bisa kamu </t>
    </r>
    <r>
      <rPr>
        <rFont val="Google Sans"/>
        <color theme="1"/>
        <u/>
      </rPr>
      <t>abaikan saja tapi jangan dihapus</t>
    </r>
    <r>
      <rPr>
        <rFont val="Google Sans"/>
        <color theme="1"/>
      </rPr>
      <t xml:space="preserve"> ya. Sheet ini digunakan untuk menyimpan sementara transaksi yang dicatat pada sheet yang terhubung.
</t>
    </r>
  </si>
  <si>
    <t>Catatan:</t>
  </si>
  <si>
    <r>
      <rPr>
        <rFont val="Google Sans"/>
        <color theme="1"/>
        <sz val="15.0"/>
      </rPr>
      <t>⚡</t>
    </r>
    <r>
      <rPr>
        <rFont val="Google Sans"/>
        <b/>
        <color theme="1"/>
      </rPr>
      <t>Fitur ceklis</t>
    </r>
    <r>
      <rPr>
        <rFont val="Google Sans"/>
        <color theme="1"/>
      </rPr>
      <t xml:space="preserve"> yang tersedia pada sheet summary dan spending tidak memengaruhi formula maupun sheet lainnya. Ceklis ini hanya mempermudah untuk sortir transaksi.</t>
    </r>
  </si>
  <si>
    <r>
      <rPr>
        <rFont val="Google Sans"/>
        <color theme="1"/>
        <sz val="15.0"/>
      </rPr>
      <t>⚡</t>
    </r>
    <r>
      <rPr>
        <rFont val="Google Sans"/>
        <color theme="1"/>
      </rPr>
      <t xml:space="preserve"> Beberapa fitur pada spreadsheet ini kemungkinan </t>
    </r>
    <r>
      <rPr>
        <rFont val="Google Sans"/>
        <b/>
        <color rgb="FFD14D72"/>
      </rPr>
      <t>belum support jika digunakan lewat aplikasi Excel</t>
    </r>
    <r>
      <rPr>
        <rFont val="Google Sans"/>
        <color theme="1"/>
      </rPr>
      <t>. Untuk penggunaan maksimal, pastikan hanya melakukan editing lewat Google sheet.</t>
    </r>
  </si>
  <si>
    <t>Total</t>
  </si>
  <si>
    <r>
      <rPr>
        <rFont val="Google Sans"/>
        <color theme="1"/>
        <sz val="15.0"/>
      </rPr>
      <t>⚡</t>
    </r>
    <r>
      <rPr>
        <rFont val="Google Sans"/>
        <color theme="1"/>
      </rPr>
      <t xml:space="preserve"> </t>
    </r>
    <r>
      <rPr>
        <rFont val="Google Sans"/>
        <b/>
        <color theme="1"/>
      </rPr>
      <t>Pro tips</t>
    </r>
    <r>
      <rPr>
        <rFont val="Google Sans"/>
        <color theme="1"/>
      </rPr>
      <t>: pada sheet Summary, jika terdapat sub kategori yang tidak digunakan, boleh langsung dihapus per baris agar tidak ada area kosong tanpa data.</t>
    </r>
  </si>
  <si>
    <r>
      <rPr>
        <rFont val="Google Sans"/>
        <b/>
        <color rgb="FF000000"/>
        <sz val="15.0"/>
      </rPr>
      <t>⚡</t>
    </r>
    <r>
      <rPr>
        <rFont val="Google Sans"/>
        <color rgb="FF000000"/>
      </rPr>
      <t xml:space="preserve"> Untuk lebih banyak pertanyaan terkait fitur dan cara menggunakan template ini, boleh untuk mengirimkan email ke : </t>
    </r>
    <r>
      <rPr>
        <rFont val="Google Sans"/>
        <b/>
        <color rgb="FFD14D72"/>
      </rPr>
      <t>tanyakaluna@gmail.com</t>
    </r>
  </si>
  <si>
    <t>Oh iya, jangan menyebarkan link spreadsheet ini ya, karena ini khusus hanya untuk kamu para pejuang hidup yang udah nonton film HSL 💚</t>
  </si>
  <si>
    <t>*Template Google Spreadsheet ini kolaborasi Home Sweet Loan dan @andreqve</t>
  </si>
  <si>
    <t>Savings List</t>
  </si>
  <si>
    <t>Money Management Dashboard</t>
  </si>
  <si>
    <t>Year:</t>
  </si>
  <si>
    <t>Spending Tracker Sheet</t>
  </si>
  <si>
    <t>Date:</t>
  </si>
  <si>
    <t>Month:</t>
  </si>
  <si>
    <t>Grand Total</t>
  </si>
  <si>
    <t>January</t>
  </si>
  <si>
    <t>Montly Report 📊</t>
  </si>
  <si>
    <t>✓</t>
  </si>
  <si>
    <t>Date</t>
  </si>
  <si>
    <t>Description</t>
  </si>
  <si>
    <t>Category</t>
  </si>
  <si>
    <t>Total Income</t>
  </si>
  <si>
    <t>Budgeted Expenses</t>
  </si>
  <si>
    <t>Budgeting List</t>
  </si>
  <si>
    <t>Total Spending</t>
  </si>
  <si>
    <t>Monthly Savings</t>
  </si>
  <si>
    <t>Alokasi makan seminggu</t>
  </si>
  <si>
    <t>Food</t>
  </si>
  <si>
    <t>Belanja kebutuhan rumah bulanan</t>
  </si>
  <si>
    <t>Supplies</t>
  </si>
  <si>
    <t>Ke Dufan</t>
  </si>
  <si>
    <t>Entertaiment</t>
  </si>
  <si>
    <t>Transportasi Umum</t>
  </si>
  <si>
    <t>Transportation</t>
  </si>
  <si>
    <t>Nongkrong sama Danan, Miya, Tanish</t>
  </si>
  <si>
    <t>Beli obat di Halodoc</t>
  </si>
  <si>
    <t>Healthcare</t>
  </si>
  <si>
    <t>Tambahan belanja bulanan</t>
  </si>
  <si>
    <t>Beli tempe pasar</t>
  </si>
  <si>
    <t>Beli bahan kue</t>
  </si>
  <si>
    <t>Topup emoney</t>
  </si>
  <si>
    <t>Beli token listrik</t>
  </si>
  <si>
    <t>Utilities</t>
  </si>
  <si>
    <t>Expenses List</t>
  </si>
  <si>
    <t>Allocation 💰</t>
  </si>
  <si>
    <t>Realization 💸</t>
  </si>
  <si>
    <t>Budget Usage Progress</t>
  </si>
  <si>
    <t>% Usage</t>
  </si>
  <si>
    <t xml:space="preserve">Allocated Money	</t>
  </si>
  <si>
    <t>Non-allocated</t>
  </si>
  <si>
    <t>Home Sweet Home</t>
  </si>
  <si>
    <t>Last update</t>
  </si>
  <si>
    <t>Target</t>
  </si>
  <si>
    <t>Progress</t>
  </si>
  <si>
    <t>Total Assets Value</t>
  </si>
  <si>
    <t>Liquid Assets</t>
  </si>
  <si>
    <t>Non-Liquid Assets:</t>
  </si>
  <si>
    <t xml:space="preserve">Liquid Assets                        </t>
  </si>
  <si>
    <t>Descriptions</t>
  </si>
  <si>
    <t>Value</t>
  </si>
  <si>
    <t>Account</t>
  </si>
  <si>
    <t>Gaji Bulanan</t>
  </si>
  <si>
    <t>Account 1</t>
  </si>
  <si>
    <t>Saldo BPJS</t>
  </si>
  <si>
    <t>Account 3</t>
  </si>
  <si>
    <t>Tabungan</t>
  </si>
  <si>
    <t>Account 2</t>
  </si>
  <si>
    <t>Saham</t>
  </si>
  <si>
    <t>Add Yours</t>
  </si>
  <si>
    <t>Account 4</t>
  </si>
  <si>
    <t xml:space="preserve">Month </t>
  </si>
  <si>
    <t>Savings</t>
  </si>
  <si>
    <t>Expenses</t>
  </si>
  <si>
    <t>Expense Realization Percentage</t>
  </si>
  <si>
    <t>Monthly Expense Trend</t>
  </si>
  <si>
    <t>TOTAL</t>
  </si>
  <si>
    <t>Income</t>
  </si>
  <si>
    <r>
      <rPr>
        <rFont val="Google Sans"/>
        <b/>
        <color theme="1"/>
      </rPr>
      <t xml:space="preserve">Account </t>
    </r>
    <r>
      <rPr>
        <rFont val="Google Sans"/>
        <b/>
        <color rgb="FF00B88C"/>
      </rPr>
      <t>[ Summary]</t>
    </r>
    <r>
      <rPr>
        <rFont val="Google Sans"/>
        <b/>
        <color theme="1"/>
      </rPr>
      <t xml:space="preserve"> </t>
    </r>
  </si>
  <si>
    <r>
      <rPr>
        <rFont val="Google Sans"/>
        <b/>
        <color theme="1"/>
      </rPr>
      <t xml:space="preserve">Income Sources </t>
    </r>
    <r>
      <rPr>
        <rFont val="Google Sans"/>
        <b/>
        <color rgb="FF86C8BC"/>
      </rPr>
      <t>[budgeting]</t>
    </r>
  </si>
  <si>
    <t>Needs</t>
  </si>
  <si>
    <t>Wants</t>
  </si>
  <si>
    <r>
      <rPr>
        <rFont val="Google Sans"/>
        <b/>
        <color theme="1"/>
      </rPr>
      <t xml:space="preserve">Account </t>
    </r>
    <r>
      <rPr>
        <rFont val="Google Sans"/>
        <b/>
        <color rgb="FFCEAB93"/>
      </rPr>
      <t>[Assets]</t>
    </r>
  </si>
  <si>
    <t>Month</t>
  </si>
  <si>
    <t>Payday Date</t>
  </si>
  <si>
    <t>BCA</t>
  </si>
  <si>
    <t>Monthly Salary</t>
  </si>
  <si>
    <t>Family</t>
  </si>
  <si>
    <t>Shopping</t>
  </si>
  <si>
    <t>General Savings</t>
  </si>
  <si>
    <t>Freelance Fee</t>
  </si>
  <si>
    <t>Emergency Funds</t>
  </si>
  <si>
    <t>February</t>
  </si>
  <si>
    <t>Income 3</t>
  </si>
  <si>
    <t>Gifts</t>
  </si>
  <si>
    <t>Deposits</t>
  </si>
  <si>
    <t>March</t>
  </si>
  <si>
    <t>Income 4</t>
  </si>
  <si>
    <t xml:space="preserve">Travel	</t>
  </si>
  <si>
    <t>Savings 4</t>
  </si>
  <si>
    <t>April</t>
  </si>
  <si>
    <t>Income 5</t>
  </si>
  <si>
    <t>Wants 5</t>
  </si>
  <si>
    <t>Savings 5</t>
  </si>
  <si>
    <t>May</t>
  </si>
  <si>
    <t>Wants 6</t>
  </si>
  <si>
    <t>June</t>
  </si>
  <si>
    <t>Debt</t>
  </si>
  <si>
    <t>Wants 7</t>
  </si>
  <si>
    <t>Obligasi</t>
  </si>
  <si>
    <t>July</t>
  </si>
  <si>
    <t>Needs 8</t>
  </si>
  <si>
    <t>Wants 8</t>
  </si>
  <si>
    <t>Reksa Dana</t>
  </si>
  <si>
    <t>August</t>
  </si>
  <si>
    <t>Needs 9</t>
  </si>
  <si>
    <t>Wants 9</t>
  </si>
  <si>
    <t>Deposito</t>
  </si>
  <si>
    <t>September</t>
  </si>
  <si>
    <t>Needs 10</t>
  </si>
  <si>
    <t>Wants 10</t>
  </si>
  <si>
    <t>October</t>
  </si>
  <si>
    <t>Wants 11</t>
  </si>
  <si>
    <t>November</t>
  </si>
  <si>
    <t>December</t>
  </si>
  <si>
    <t>Total Savings</t>
  </si>
  <si>
    <t>Expenses Snapshot</t>
  </si>
  <si>
    <t xml:space="preserve"> </t>
  </si>
  <si>
    <t>Budgeting Summary Sheet</t>
  </si>
  <si>
    <t>Usage Percentage</t>
  </si>
  <si>
    <t>Main Category</t>
  </si>
  <si>
    <t>Allocation</t>
  </si>
  <si>
    <t>Percentage</t>
  </si>
  <si>
    <t>Remaining Funds</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</si>
</sst>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ddd&quot;, &quot;d&quot; &quot;mmmm&quot; &quot;yyyy"/>
    <numFmt numFmtId="165" formatCode="[$Rp]#,##0"/>
    <numFmt numFmtId="166" formatCode="d&quot; &quot;mmmm&quot; &quot;yyyy"/>
    <numFmt numFmtId="167" formatCode="mmmm&quot; &quot;yyyy"/>
    <numFmt numFmtId="168" formatCode="dd&quot; &quot;mmm&quot; &quot;yyyy"/>
    <numFmt numFmtId="169" formatCode="&quot;$&quot;#,##0"/>
    <numFmt numFmtId="170" formatCode="[$$]#,##0.00"/>
    <numFmt numFmtId="171" formatCode="[$£-809]#,##0"/>
    <numFmt numFmtId="172" formatCode="mmmm&quot; &quot;"/>
    <numFmt numFmtId="173" formatCode="&quot;$&quot;#,##0.00"/>
  </numFmts>
  <fonts count="113">
    <font>
      <sz val="10.0"/>
      <color rgb="FF000000"/>
      <name val="Arial"/>
      <scheme val="minor"/>
    </font>
    <font>
      <color theme="1"/>
      <name val="Google Sans"/>
    </font>
    <font>
      <b/>
      <sz val="19.0"/>
      <color rgb="FFFFFFFF"/>
      <name val="Google Sans"/>
    </font>
    <font>
      <b/>
      <sz val="92.0"/>
      <color rgb="FFD14D72"/>
      <name val="Google Sans"/>
    </font>
    <font/>
    <font>
      <b/>
      <color theme="1"/>
      <name val="Google Sans"/>
    </font>
    <font>
      <sz val="10.0"/>
      <color theme="1"/>
      <name val="Arial"/>
      <scheme val="minor"/>
    </font>
    <font>
      <sz val="11.0"/>
      <color theme="1"/>
      <name val="Google Sans"/>
    </font>
    <font>
      <b/>
      <sz val="10.0"/>
      <color theme="1"/>
      <name val="Google Sans"/>
    </font>
    <font>
      <b/>
      <u/>
      <sz val="13.0"/>
      <color rgb="FF000000"/>
      <name val="Google Sans"/>
    </font>
    <font>
      <b/>
      <u/>
      <sz val="12.0"/>
      <color rgb="FFC706D0"/>
      <name val="Google Sans"/>
    </font>
    <font>
      <b/>
      <sz val="11.0"/>
      <color rgb="FFC499BA"/>
      <name val="Google Sans"/>
    </font>
    <font>
      <b/>
      <u/>
      <sz val="13.0"/>
      <color rgb="FF000000"/>
      <name val="Google Sans"/>
    </font>
    <font>
      <b/>
      <sz val="12.0"/>
      <color rgb="FF000000"/>
      <name val="Google Sans"/>
    </font>
    <font>
      <b/>
      <u/>
      <sz val="12.0"/>
      <color rgb="FFFFFFFF"/>
      <name val="Google Sans"/>
    </font>
    <font>
      <u/>
      <sz val="10.0"/>
      <color rgb="FF000000"/>
      <name val="Google Sans"/>
    </font>
    <font>
      <sz val="10.0"/>
      <color rgb="FF000000"/>
      <name val="Google Sans"/>
    </font>
    <font>
      <b/>
      <u/>
      <sz val="12.0"/>
      <color theme="1"/>
      <name val="Google Sans"/>
    </font>
    <font>
      <u/>
      <sz val="10.0"/>
      <color rgb="FF000000"/>
      <name val="Google Sans"/>
    </font>
    <font>
      <b/>
      <u/>
      <sz val="12.0"/>
      <color theme="1"/>
      <name val="Google Sans"/>
    </font>
    <font>
      <b/>
      <u/>
      <sz val="12.0"/>
      <color theme="1"/>
      <name val="Google Sans"/>
    </font>
    <font>
      <sz val="100.0"/>
      <color rgb="FFD14D72"/>
      <name val="Google Sans"/>
    </font>
    <font>
      <b/>
      <u/>
      <sz val="12.0"/>
      <color theme="1"/>
      <name val="Google Sans"/>
    </font>
    <font>
      <color theme="1"/>
      <name val="Arial"/>
    </font>
    <font>
      <color rgb="FF0000FF"/>
      <name val="Google Sans"/>
    </font>
    <font>
      <b/>
      <u/>
      <sz val="13.0"/>
      <color rgb="FF000000"/>
      <name val="Google Sans"/>
    </font>
    <font>
      <b/>
      <sz val="11.0"/>
      <color theme="1"/>
      <name val="Google Sans"/>
    </font>
    <font>
      <color rgb="FF000000"/>
      <name val="Google Sans"/>
    </font>
    <font>
      <i/>
      <color theme="1"/>
      <name val="Google Sans"/>
    </font>
    <font>
      <b/>
      <i/>
      <color rgb="FF0000FF"/>
      <name val="&quot;Google Sans&quot;"/>
    </font>
    <font>
      <sz val="9.0"/>
      <color theme="1"/>
      <name val="Google Sans"/>
    </font>
    <font>
      <i/>
      <sz val="9.0"/>
      <color theme="1"/>
      <name val="Google Sans"/>
    </font>
    <font>
      <b/>
      <u/>
      <sz val="12.0"/>
      <color theme="1"/>
      <name val="Google Sans"/>
    </font>
    <font>
      <b/>
      <u/>
      <sz val="12.0"/>
      <color theme="1"/>
      <name val="Google Sans"/>
    </font>
    <font>
      <b/>
      <u/>
      <sz val="12.0"/>
      <color theme="1"/>
      <name val="Google Sans"/>
    </font>
    <font>
      <b/>
      <sz val="25.0"/>
      <color rgb="FF7DB9B6"/>
      <name val="Google Sans"/>
    </font>
    <font>
      <b/>
      <sz val="11.0"/>
      <color rgb="FF0B5394"/>
      <name val="Google Sans"/>
    </font>
    <font>
      <b/>
      <sz val="11.0"/>
      <color rgb="FF000000"/>
      <name val="Google Sans"/>
    </font>
    <font>
      <b/>
      <sz val="20.0"/>
      <color rgb="FF000000"/>
      <name val="Google Sans"/>
    </font>
    <font>
      <b/>
      <sz val="24.0"/>
      <color rgb="FF666666"/>
      <name val="&quot;docs-Google Sans&quot;"/>
    </font>
    <font>
      <b/>
      <sz val="11.0"/>
      <color rgb="FF434343"/>
      <name val="Google Sans"/>
    </font>
    <font>
      <sz val="11.0"/>
      <color rgb="FFEFEFEF"/>
      <name val="Google Sans"/>
    </font>
    <font>
      <sz val="10.0"/>
      <color rgb="FFD9D9D9"/>
      <name val="Google Sans"/>
    </font>
    <font>
      <b/>
      <sz val="11.0"/>
      <color rgb="FFF7ECDE"/>
      <name val="Google Sans"/>
    </font>
    <font>
      <b/>
      <color rgb="FFFF9E9E"/>
      <name val="Google Sans"/>
    </font>
    <font>
      <b/>
      <u/>
      <sz val="12.0"/>
      <color theme="1"/>
      <name val="Google Sans"/>
    </font>
    <font>
      <b/>
      <sz val="10.0"/>
      <color rgb="FFE06666"/>
      <name val="Google Sans"/>
    </font>
    <font>
      <b/>
      <sz val="10.0"/>
      <color rgb="FFCC0000"/>
      <name val="Google Sans"/>
    </font>
    <font>
      <b/>
      <u/>
      <sz val="12.0"/>
      <color theme="1"/>
      <name val="Google Sans"/>
    </font>
    <font>
      <b/>
      <sz val="20.0"/>
      <color rgb="FF434343"/>
      <name val="Google Sans"/>
    </font>
    <font>
      <sz val="11.0"/>
      <color rgb="FF000000"/>
      <name val="Google Sans"/>
    </font>
    <font>
      <b/>
      <sz val="15.0"/>
      <color rgb="FF434343"/>
      <name val="Google Sans"/>
    </font>
    <font>
      <b/>
      <sz val="10.0"/>
      <color rgb="FF000000"/>
      <name val="Google Sans"/>
    </font>
    <font>
      <b/>
      <sz val="30.0"/>
      <color rgb="FF434343"/>
      <name val="Google Sans"/>
    </font>
    <font>
      <b/>
      <sz val="10.0"/>
      <color theme="7"/>
      <name val="Google Sans"/>
    </font>
    <font>
      <sz val="10.0"/>
      <color theme="1"/>
      <name val="Google Sans"/>
    </font>
    <font>
      <b/>
      <sz val="12.0"/>
      <color rgb="FF434343"/>
      <name val="Google Sans"/>
    </font>
    <font>
      <b/>
      <u/>
      <sz val="12.0"/>
      <color theme="1"/>
      <name val="Google Sans"/>
    </font>
    <font>
      <b/>
      <u/>
      <sz val="12.0"/>
      <color theme="1"/>
      <name val="Google Sans"/>
    </font>
    <font>
      <b/>
      <u/>
      <sz val="12.0"/>
      <color theme="1"/>
      <name val="Google Sans"/>
    </font>
    <font>
      <sz val="10.0"/>
      <color rgb="FF000000"/>
      <name val="Arial"/>
    </font>
    <font>
      <sz val="17.0"/>
      <color theme="1"/>
      <name val="Google Sans"/>
    </font>
    <font>
      <sz val="12.0"/>
      <color theme="1"/>
      <name val="Google Sans"/>
    </font>
    <font>
      <sz val="10.0"/>
      <color rgb="FF434343"/>
      <name val="Google Sans"/>
    </font>
    <font>
      <b/>
      <sz val="25.0"/>
      <color rgb="FFFFFFFF"/>
      <name val="Google Sans"/>
    </font>
    <font>
      <sz val="10.0"/>
      <color rgb="FF334960"/>
      <name val="Google Sans"/>
    </font>
    <font>
      <color theme="1"/>
      <name val="Calibri"/>
    </font>
    <font>
      <b/>
      <sz val="13.0"/>
      <color theme="1"/>
      <name val="Calibri"/>
    </font>
    <font>
      <sz val="15.0"/>
      <color rgb="FF1C4587"/>
      <name val="Calibri"/>
    </font>
    <font>
      <sz val="10.0"/>
      <color theme="1"/>
      <name val="Calibri"/>
    </font>
    <font>
      <b/>
      <sz val="24.0"/>
      <color rgb="FF334960"/>
      <name val="Google Sans"/>
    </font>
    <font>
      <b/>
      <sz val="30.0"/>
      <color rgb="FF38761D"/>
      <name val="Calibri"/>
    </font>
    <font>
      <i/>
      <sz val="15.0"/>
      <color rgb="FF1C4587"/>
      <name val="Calibri"/>
    </font>
    <font>
      <b/>
      <sz val="10.0"/>
      <color rgb="FF434343"/>
      <name val="Google Sans"/>
    </font>
    <font>
      <i/>
      <sz val="10.0"/>
      <color rgb="FF576475"/>
      <name val="Google Sans"/>
    </font>
    <font>
      <b/>
      <sz val="10.0"/>
      <color rgb="FF334960"/>
      <name val="Google Sans"/>
    </font>
    <font>
      <b/>
      <sz val="10.0"/>
      <color theme="0"/>
      <name val="Google Sans"/>
    </font>
    <font>
      <sz val="14.0"/>
      <color theme="1"/>
      <name val="Google Sans"/>
    </font>
    <font>
      <b/>
      <sz val="13.0"/>
      <color rgb="FF334960"/>
      <name val="Google Sans"/>
    </font>
    <font>
      <b/>
      <sz val="14.0"/>
      <color rgb="FF334960"/>
      <name val="Google Sans"/>
    </font>
    <font>
      <b/>
      <sz val="10.0"/>
      <color rgb="FFFFFFFF"/>
      <name val="Google Sans"/>
    </font>
    <font>
      <b/>
      <sz val="10.0"/>
      <color rgb="FF666666"/>
      <name val="Google Sans"/>
    </font>
    <font>
      <sz val="10.0"/>
      <color rgb="FF666666"/>
      <name val="Google Sans"/>
    </font>
    <font>
      <b/>
      <sz val="10.0"/>
      <color rgb="FFF46524"/>
      <name val="Google Sans"/>
    </font>
    <font>
      <b/>
      <sz val="13.0"/>
      <color rgb="FFF46524"/>
      <name val="Google Sans"/>
    </font>
    <font>
      <b/>
      <sz val="18.0"/>
      <color rgb="FFF46524"/>
      <name val="Google Sans"/>
    </font>
    <font>
      <b/>
      <sz val="11.0"/>
      <color rgb="FF334960"/>
      <name val="Google Sans"/>
    </font>
    <font>
      <b/>
      <sz val="17.0"/>
      <color rgb="FF334960"/>
      <name val="Google Sans"/>
    </font>
    <font>
      <sz val="18.0"/>
      <color rgb="FF334960"/>
      <name val="Google Sans"/>
    </font>
    <font>
      <color rgb="FF434343"/>
      <name val="Google Sans"/>
    </font>
    <font>
      <b/>
      <color rgb="FF434343"/>
      <name val="Google Sans"/>
    </font>
    <font>
      <b/>
      <sz val="12.0"/>
      <color theme="1"/>
      <name val="Google Sans"/>
    </font>
    <font>
      <sz val="35.0"/>
      <color rgb="FFA5C0DD"/>
      <name val="Google Sans"/>
    </font>
    <font>
      <color theme="1"/>
      <name val="Arial"/>
      <scheme val="minor"/>
    </font>
    <font>
      <u/>
      <sz val="12.0"/>
      <color theme="1"/>
      <name val="Arial"/>
      <scheme val="minor"/>
    </font>
    <font>
      <b/>
      <color rgb="FFD14D72"/>
      <name val="Google Sans"/>
    </font>
    <font>
      <sz val="11.0"/>
      <color theme="1"/>
      <name val="Arial"/>
      <scheme val="minor"/>
    </font>
    <font>
      <b/>
      <sz val="11.0"/>
      <color theme="1"/>
      <name val="Arial"/>
      <scheme val="minor"/>
    </font>
    <font>
      <b/>
      <u/>
      <sz val="12.0"/>
      <color theme="1"/>
      <name val="Google Sans"/>
    </font>
    <font>
      <b/>
      <u/>
      <sz val="12.0"/>
      <color theme="1"/>
      <name val="Google Sans"/>
    </font>
    <font>
      <b/>
      <u/>
      <sz val="12.0"/>
      <color theme="1"/>
      <name val="Google Sans"/>
    </font>
    <font>
      <b/>
      <sz val="11.0"/>
      <color rgb="FFD14D72"/>
      <name val="Google Sans"/>
    </font>
    <font>
      <sz val="11.0"/>
      <color rgb="FFD14D72"/>
      <name val="Google Sans"/>
    </font>
    <font>
      <b/>
      <sz val="8.0"/>
      <color rgb="FFCC0000"/>
      <name val="Google Sans"/>
    </font>
    <font>
      <b/>
      <sz val="20.0"/>
      <color rgb="FF7DB9B6"/>
      <name val="Google Sans"/>
    </font>
    <font>
      <sz val="11.0"/>
      <color rgb="FF434343"/>
      <name val="Google Sans"/>
    </font>
    <font>
      <b/>
      <sz val="10.0"/>
      <color rgb="FF34A853"/>
      <name val="Google Sans"/>
    </font>
    <font>
      <b/>
      <sz val="8.0"/>
      <color rgb="FF000000"/>
      <name val="Google Sans"/>
    </font>
    <font>
      <b/>
      <sz val="8.0"/>
      <color theme="1"/>
      <name val="Google Sans"/>
    </font>
    <font>
      <sz val="10.0"/>
      <color rgb="FFFFFFFF"/>
      <name val="Google Sans"/>
    </font>
    <font>
      <i/>
      <u/>
      <sz val="10.0"/>
      <color rgb="FFFFFFFF"/>
      <name val="Google Sans"/>
    </font>
    <font>
      <b/>
      <u/>
      <sz val="12.0"/>
      <color theme="1"/>
      <name val="Google Sans"/>
    </font>
    <font>
      <b/>
      <u/>
      <sz val="12.0"/>
      <color theme="1"/>
      <name val="Google Sans"/>
    </font>
  </fonts>
  <fills count="34">
    <fill>
      <patternFill patternType="none"/>
    </fill>
    <fill>
      <patternFill patternType="lightGray"/>
    </fill>
    <fill>
      <patternFill patternType="solid">
        <fgColor rgb="FF86C8BC"/>
        <bgColor rgb="FF86C8BC"/>
      </patternFill>
    </fill>
    <fill>
      <patternFill patternType="solid">
        <fgColor rgb="FFF3F3F3"/>
        <bgColor rgb="FFF3F3F3"/>
      </patternFill>
    </fill>
    <fill>
      <patternFill patternType="solid">
        <fgColor rgb="FFFDD36A"/>
        <bgColor rgb="FFFDD36A"/>
      </patternFill>
    </fill>
    <fill>
      <patternFill patternType="solid">
        <fgColor rgb="FFF4CCCC"/>
        <bgColor rgb="FFF4CCCC"/>
      </patternFill>
    </fill>
    <fill>
      <patternFill patternType="solid">
        <fgColor rgb="FFBDCDD6"/>
        <bgColor rgb="FFBDCDD6"/>
      </patternFill>
    </fill>
    <fill>
      <patternFill patternType="solid">
        <fgColor rgb="FFE5D1FA"/>
        <bgColor rgb="FFE5D1FA"/>
      </patternFill>
    </fill>
    <fill>
      <patternFill patternType="solid">
        <fgColor rgb="FFF0EBE3"/>
        <bgColor rgb="FFF0EBE3"/>
      </patternFill>
    </fill>
    <fill>
      <patternFill patternType="solid">
        <fgColor rgb="FFFFFFFF"/>
        <bgColor rgb="FFFFFFFF"/>
      </patternFill>
    </fill>
    <fill>
      <patternFill patternType="solid">
        <fgColor rgb="FFCCCCCC"/>
        <bgColor rgb="FFCCCCCC"/>
      </patternFill>
    </fill>
    <fill>
      <patternFill patternType="solid">
        <fgColor rgb="FFFF9E9E"/>
        <bgColor rgb="FFFF9E9E"/>
      </patternFill>
    </fill>
    <fill>
      <patternFill patternType="solid">
        <fgColor rgb="FFAEDBCE"/>
        <bgColor rgb="FFAEDBCE"/>
      </patternFill>
    </fill>
    <fill>
      <patternFill patternType="solid">
        <fgColor rgb="FFFAEEE7"/>
        <bgColor rgb="FFFAEEE7"/>
      </patternFill>
    </fill>
    <fill>
      <patternFill patternType="solid">
        <fgColor rgb="FFF6B26B"/>
        <bgColor rgb="FFF6B26B"/>
      </patternFill>
    </fill>
    <fill>
      <patternFill patternType="solid">
        <fgColor rgb="FFE69138"/>
        <bgColor rgb="FFE69138"/>
      </patternFill>
    </fill>
    <fill>
      <patternFill patternType="solid">
        <fgColor rgb="FFB45F06"/>
        <bgColor rgb="FFB45F06"/>
      </patternFill>
    </fill>
    <fill>
      <patternFill patternType="solid">
        <fgColor rgb="FF783F04"/>
        <bgColor rgb="FF783F04"/>
      </patternFill>
    </fill>
    <fill>
      <patternFill patternType="solid">
        <fgColor rgb="FF76A5AF"/>
        <bgColor rgb="FF76A5AF"/>
      </patternFill>
    </fill>
    <fill>
      <patternFill patternType="solid">
        <fgColor rgb="FFE06666"/>
        <bgColor rgb="FFE06666"/>
      </patternFill>
    </fill>
    <fill>
      <patternFill patternType="solid">
        <fgColor rgb="FFA64D79"/>
        <bgColor rgb="FFA64D79"/>
      </patternFill>
    </fill>
    <fill>
      <patternFill patternType="solid">
        <fgColor rgb="FF4D455D"/>
        <bgColor rgb="FF4D455D"/>
      </patternFill>
    </fill>
    <fill>
      <patternFill patternType="solid">
        <fgColor rgb="FFEBEDEF"/>
        <bgColor rgb="FFEBEDEF"/>
      </patternFill>
    </fill>
    <fill>
      <patternFill patternType="solid">
        <fgColor rgb="FFEDDBC7"/>
        <bgColor rgb="FFEDDBC7"/>
      </patternFill>
    </fill>
    <fill>
      <patternFill patternType="solid">
        <fgColor rgb="FFCEEDC7"/>
        <bgColor rgb="FFCEEDC7"/>
      </patternFill>
    </fill>
    <fill>
      <patternFill patternType="solid">
        <fgColor rgb="FFD9D9D9"/>
        <bgColor rgb="FFD9D9D9"/>
      </patternFill>
    </fill>
    <fill>
      <patternFill patternType="solid">
        <fgColor rgb="FFE3DFFD"/>
        <bgColor rgb="FFE3DFFD"/>
      </patternFill>
    </fill>
    <fill>
      <patternFill patternType="solid">
        <fgColor rgb="FFF8C4B4"/>
        <bgColor rgb="FFF8C4B4"/>
      </patternFill>
    </fill>
    <fill>
      <patternFill patternType="solid">
        <fgColor rgb="FFEEE9DA"/>
        <bgColor rgb="FFEEE9DA"/>
      </patternFill>
    </fill>
    <fill>
      <patternFill patternType="solid">
        <fgColor rgb="FFE96479"/>
        <bgColor rgb="FFE96479"/>
      </patternFill>
    </fill>
    <fill>
      <patternFill patternType="solid">
        <fgColor rgb="FF00B88C"/>
        <bgColor rgb="FF00B88C"/>
      </patternFill>
    </fill>
    <fill>
      <patternFill patternType="solid">
        <fgColor rgb="FFEFEFEF"/>
        <bgColor rgb="FFEFEFEF"/>
      </patternFill>
    </fill>
    <fill>
      <patternFill patternType="solid">
        <fgColor rgb="FFCEAB93"/>
        <bgColor rgb="FFCEAB93"/>
      </patternFill>
    </fill>
    <fill>
      <patternFill patternType="solid">
        <fgColor rgb="FFE8D5C4"/>
        <bgColor rgb="FFE8D5C4"/>
      </patternFill>
    </fill>
  </fills>
  <borders count="87">
    <border/>
    <border>
      <bottom style="dotted">
        <color rgb="FFD9D9D9"/>
      </bottom>
    </border>
    <border>
      <top style="dotted">
        <color rgb="FFD9D9D9"/>
      </top>
      <bottom style="dotted">
        <color rgb="FFD9D9D9"/>
      </bottom>
    </border>
    <border>
      <left style="thin">
        <color rgb="FFD9D9D9"/>
      </left>
      <right style="thin">
        <color rgb="FFFFFFFF"/>
      </right>
      <top style="thin">
        <color rgb="FFD9D9D9"/>
      </top>
      <bottom style="thin">
        <color rgb="FFD9D9D9"/>
      </bottom>
    </border>
    <border>
      <top style="dotted">
        <color rgb="FFD9D9D9"/>
      </top>
    </border>
    <border>
      <left style="thin">
        <color rgb="FFFFFFFF"/>
      </left>
      <right style="thin">
        <color rgb="FFFFFFFF"/>
      </right>
      <top style="thin">
        <color rgb="FFD9D9D9"/>
      </top>
      <bottom style="thin">
        <color rgb="FFD9D9D9"/>
      </bottom>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left style="thin">
        <color rgb="FFFFFFFF"/>
      </left>
      <right style="thin">
        <color rgb="FFFFFFFF"/>
      </right>
    </border>
    <border>
      <bottom style="thin">
        <color rgb="FFCCCCCC"/>
      </bottom>
    </border>
    <border>
      <top style="medium">
        <color rgb="FFA5C0DD"/>
      </top>
      <bottom style="medium">
        <color rgb="FFA5C0DD"/>
      </bottom>
    </border>
    <border>
      <right style="thin">
        <color rgb="FFFFFFFF"/>
      </right>
    </border>
    <border>
      <left style="thin">
        <color rgb="FFFFFFFF"/>
      </left>
    </border>
    <border>
      <left style="medium">
        <color rgb="FFD9D9D9"/>
      </left>
      <top style="medium">
        <color rgb="FFD9D9D9"/>
      </top>
      <bottom style="double">
        <color rgb="FFD9D9D9"/>
      </bottom>
    </border>
    <border>
      <right style="medium">
        <color rgb="FFD9D9D9"/>
      </right>
      <top style="medium">
        <color rgb="FFD9D9D9"/>
      </top>
      <bottom style="double">
        <color rgb="FFD9D9D9"/>
      </bottom>
    </border>
    <border>
      <top style="thin">
        <color rgb="FFCCCCCC"/>
      </top>
      <bottom style="thin">
        <color rgb="FFCCCCCC"/>
      </bottom>
    </border>
    <border>
      <left style="medium">
        <color rgb="FFD9D9D9"/>
      </left>
    </border>
    <border>
      <right style="medium">
        <color rgb="FFD9D9D9"/>
      </right>
    </border>
    <border>
      <left style="medium">
        <color rgb="FFD9D9D9"/>
      </left>
      <bottom style="medium">
        <color rgb="FFD9D9D9"/>
      </bottom>
    </border>
    <border>
      <right style="medium">
        <color rgb="FFD9D9D9"/>
      </right>
      <bottom style="medium">
        <color rgb="FFD9D9D9"/>
      </bottom>
    </border>
    <border>
      <left style="medium">
        <color rgb="FFF3F3F3"/>
      </left>
      <top style="medium">
        <color rgb="FFF3F3F3"/>
      </top>
    </border>
    <border>
      <right style="medium">
        <color rgb="FFF3F3F3"/>
      </right>
      <top style="medium">
        <color rgb="FFF3F3F3"/>
      </top>
    </border>
    <border>
      <top style="medium">
        <color rgb="FFF3F3F3"/>
      </top>
    </border>
    <border>
      <left style="medium">
        <color rgb="FFF3F3F3"/>
      </left>
      <bottom style="thin">
        <color rgb="FFF3F3F3"/>
      </bottom>
    </border>
    <border>
      <right style="thin">
        <color rgb="FFF3F3F3"/>
      </right>
      <bottom style="thin">
        <color rgb="FFF3F3F3"/>
      </bottom>
    </border>
    <border>
      <left style="thin">
        <color rgb="FFF3F3F3"/>
      </left>
      <bottom style="thin">
        <color rgb="FFF3F3F3"/>
      </bottom>
    </border>
    <border>
      <bottom style="thin">
        <color rgb="FFF3F3F3"/>
      </bottom>
    </border>
    <border>
      <right style="medium">
        <color rgb="FFF3F3F3"/>
      </right>
      <bottom style="thin">
        <color rgb="FFF3F3F3"/>
      </bottom>
    </border>
    <border>
      <left style="medium">
        <color rgb="FFF3F3F3"/>
      </left>
      <top style="thin">
        <color rgb="FFF3F3F3"/>
      </top>
      <bottom style="thin">
        <color rgb="FFF3F3F3"/>
      </bottom>
    </border>
    <border>
      <right style="thin">
        <color rgb="FFF3F3F3"/>
      </right>
      <top style="thin">
        <color rgb="FFF3F3F3"/>
      </top>
      <bottom style="thin">
        <color rgb="FFF3F3F3"/>
      </bottom>
    </border>
    <border>
      <left style="thin">
        <color rgb="FFF3F3F3"/>
      </left>
      <top style="thin">
        <color rgb="FFF3F3F3"/>
      </top>
      <bottom style="thin">
        <color rgb="FFF3F3F3"/>
      </bottom>
    </border>
    <border>
      <top style="medium">
        <color rgb="FF86C8BC"/>
      </top>
      <bottom style="medium">
        <color rgb="FF86C8BC"/>
      </bottom>
    </border>
    <border>
      <left style="thin">
        <color rgb="FFB7B7B7"/>
      </left>
      <top style="thin">
        <color rgb="FFB7B7B7"/>
      </top>
    </border>
    <border>
      <top style="thin">
        <color rgb="FFB7B7B7"/>
      </top>
    </border>
    <border>
      <right style="thin">
        <color rgb="FFB7B7B7"/>
      </right>
      <top style="thin">
        <color rgb="FFB7B7B7"/>
      </top>
    </border>
    <border>
      <left style="thin">
        <color rgb="FFB7B7B7"/>
      </left>
    </border>
    <border>
      <right style="thin">
        <color rgb="FFB7B7B7"/>
      </right>
    </border>
    <border>
      <left style="thin">
        <color rgb="FFB7B7B7"/>
      </left>
      <bottom style="thin">
        <color rgb="FFB7B7B7"/>
      </bottom>
    </border>
    <border>
      <bottom style="thin">
        <color rgb="FFB7B7B7"/>
      </bottom>
    </border>
    <border>
      <right style="thin">
        <color rgb="FFB7B7B7"/>
      </right>
      <bottom style="thin">
        <color rgb="FFB7B7B7"/>
      </bottom>
    </border>
    <border>
      <left style="thin">
        <color rgb="FFB7B7B7"/>
      </left>
      <bottom style="dotted">
        <color rgb="FFFFF1DC"/>
      </bottom>
    </border>
    <border>
      <bottom style="dotted">
        <color rgb="FFFFF1DC"/>
      </bottom>
    </border>
    <border>
      <right style="thin">
        <color rgb="FFB7B7B7"/>
      </right>
      <bottom style="dotted">
        <color rgb="FFFFF1DC"/>
      </bottom>
    </border>
    <border>
      <right style="thin">
        <color rgb="FFFFFFFF"/>
      </right>
      <bottom style="thin">
        <color rgb="FFFFFFFF"/>
      </bottom>
    </border>
    <border>
      <right style="thin">
        <color rgb="FFFFFFFF"/>
      </right>
      <top style="thin">
        <color rgb="FFFFFFFF"/>
      </top>
      <bottom style="thin">
        <color rgb="FFFFFFFF"/>
      </bottom>
    </border>
    <border>
      <top style="thin">
        <color rgb="FFFFFFFF"/>
      </top>
      <bottom style="thin">
        <color rgb="FFFFFFFF"/>
      </bottom>
    </border>
    <border>
      <left style="thin">
        <color rgb="FFEFEFEF"/>
      </left>
      <right style="thin">
        <color rgb="FFEFEFEF"/>
      </right>
      <bottom style="thin">
        <color rgb="FFEFEFEF"/>
      </bottom>
    </border>
    <border>
      <left style="thin">
        <color rgb="FFEFEFEF"/>
      </left>
      <bottom style="thin">
        <color rgb="FFEFEFEF"/>
      </bottom>
    </border>
    <border>
      <right style="thin">
        <color rgb="FFEFEFEF"/>
      </right>
      <bottom style="thin">
        <color rgb="FFEFEFEF"/>
      </bottom>
    </border>
    <border>
      <bottom style="thin">
        <color rgb="FFFFFFFF"/>
      </bottom>
    </border>
    <border>
      <left style="thin">
        <color rgb="FFFFFFFF"/>
      </left>
      <bottom style="thin">
        <color rgb="FFEFEFEF"/>
      </bottom>
    </border>
    <border>
      <right style="thin">
        <color rgb="FFFFFFFF"/>
      </right>
      <bottom style="thin">
        <color rgb="FFEFEFEF"/>
      </bottom>
    </border>
    <border>
      <left style="thin">
        <color rgb="FFFFFFFF"/>
      </left>
      <right style="thin">
        <color rgb="FFFFFFFF"/>
      </right>
      <bottom style="thin">
        <color rgb="FFEFEFEF"/>
      </bottom>
    </border>
    <border>
      <bottom style="thin">
        <color rgb="FFEFEFEF"/>
      </bottom>
    </border>
    <border>
      <left style="thin">
        <color rgb="FFFFFFFF"/>
      </left>
      <top style="thin">
        <color rgb="FFEFEFEF"/>
      </top>
      <bottom style="thin">
        <color rgb="FFEFEFEF"/>
      </bottom>
    </border>
    <border>
      <top style="thin">
        <color rgb="FFEFEFEF"/>
      </top>
      <bottom style="thin">
        <color rgb="FFEFEFEF"/>
      </bottom>
    </border>
    <border>
      <right style="thin">
        <color rgb="FFFFFFFF"/>
      </right>
      <top style="thin">
        <color rgb="FFEFEFEF"/>
      </top>
      <bottom style="thin">
        <color rgb="FFEFEFEF"/>
      </bottom>
    </border>
    <border>
      <left style="thin">
        <color rgb="FFFFFFFF"/>
      </left>
      <right style="thin">
        <color rgb="FFFFFFFF"/>
      </right>
      <top style="thin">
        <color rgb="FFEFEFEF"/>
      </top>
      <bottom style="thin">
        <color rgb="FFEFEFEF"/>
      </bottom>
    </border>
    <border>
      <bottom style="thin">
        <color rgb="FFEBEDEF"/>
      </bottom>
    </border>
    <border>
      <right style="thin">
        <color rgb="FFEBEDEF"/>
      </right>
    </border>
    <border>
      <right style="thin">
        <color rgb="FFF3F3F3"/>
      </right>
      <bottom style="thin">
        <color rgb="FFEBEDEF"/>
      </bottom>
    </border>
    <border>
      <right style="thin">
        <color rgb="FFEBEDEF"/>
      </right>
      <bottom style="thin">
        <color rgb="FFEBEDEF"/>
      </bottom>
    </border>
    <border>
      <left style="thin">
        <color rgb="FFEFEFEF"/>
      </left>
      <top style="thin">
        <color rgb="FFEFEFEF"/>
      </top>
    </border>
    <border>
      <top style="thin">
        <color rgb="FFEFEFEF"/>
      </top>
    </border>
    <border>
      <right style="thin">
        <color rgb="FFEFEFEF"/>
      </right>
      <top style="thin">
        <color rgb="FFEFEFEF"/>
      </top>
    </border>
    <border>
      <right style="thin">
        <color rgb="FFEFEFEF"/>
      </right>
      <bottom style="thin">
        <color rgb="FFEBEDEF"/>
      </bottom>
    </border>
    <border>
      <left style="thin">
        <color rgb="FFEFEFEF"/>
      </left>
    </border>
    <border>
      <right style="thin">
        <color rgb="FFEFEFEF"/>
      </right>
    </border>
    <border>
      <left style="medium">
        <color rgb="FFF3F3F3"/>
      </left>
      <bottom style="medium">
        <color rgb="FFF3F3F3"/>
      </bottom>
    </border>
    <border>
      <right style="thin">
        <color rgb="FFF3F3F3"/>
      </right>
      <bottom style="medium">
        <color rgb="FFF3F3F3"/>
      </bottom>
    </border>
    <border>
      <left style="thin">
        <color rgb="FFF3F3F3"/>
      </left>
      <bottom style="medium">
        <color rgb="FFF3F3F3"/>
      </bottom>
    </border>
    <border>
      <bottom style="medium">
        <color rgb="FFF3F3F3"/>
      </bottom>
    </border>
    <border>
      <right style="medium">
        <color rgb="FFF3F3F3"/>
      </right>
      <bottom style="medium">
        <color rgb="FFF3F3F3"/>
      </bottom>
    </border>
    <border>
      <left style="medium">
        <color rgb="FFEFEFEF"/>
      </left>
      <top style="medium">
        <color rgb="FFEFEFEF"/>
      </top>
    </border>
    <border>
      <top style="medium">
        <color rgb="FFEFEFEF"/>
      </top>
    </border>
    <border>
      <right style="medium">
        <color rgb="FFEFEFEF"/>
      </right>
      <top style="medium">
        <color rgb="FFEFEFEF"/>
      </top>
    </border>
    <border>
      <left style="medium">
        <color rgb="FFEFEFEF"/>
      </left>
    </border>
    <border>
      <right style="medium">
        <color rgb="FFEFEFEF"/>
      </right>
    </border>
    <border>
      <left style="medium">
        <color rgb="FFEFEFEF"/>
      </left>
      <bottom style="medium">
        <color rgb="FFEFEFEF"/>
      </bottom>
    </border>
    <border>
      <bottom style="medium">
        <color rgb="FFEFEFEF"/>
      </bottom>
    </border>
    <border>
      <right style="medium">
        <color rgb="FFEFEFEF"/>
      </right>
      <bottom style="medium">
        <color rgb="FFEFEFEF"/>
      </bottom>
    </border>
    <border>
      <bottom style="medium">
        <color rgb="FFD9D9D9"/>
      </bottom>
    </border>
    <border>
      <bottom style="medium">
        <color rgb="FF7DB9B6"/>
      </bottom>
    </border>
    <border>
      <left style="thin">
        <color rgb="FFFFFFFF"/>
      </left>
      <bottom style="thin">
        <color rgb="FFFFFFFF"/>
      </bottom>
    </border>
    <border>
      <left style="thin">
        <color rgb="FFFFFFFF"/>
      </left>
      <top style="thin">
        <color rgb="FFFFFFFF"/>
      </top>
      <bottom style="thin">
        <color rgb="FFFFFFFF"/>
      </bottom>
    </border>
  </borders>
  <cellStyleXfs count="1">
    <xf borderId="0" fillId="0" fontId="0" numFmtId="0" applyAlignment="1" applyFont="1"/>
  </cellStyleXfs>
  <cellXfs count="404">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horizontal="center" readingOrder="0" vertical="center"/>
    </xf>
    <xf borderId="0" fillId="3" fontId="3" numFmtId="0" xfId="0" applyAlignment="1" applyFill="1" applyFont="1">
      <alignment horizontal="center" readingOrder="0" vertical="center"/>
    </xf>
    <xf borderId="0" fillId="0" fontId="1" numFmtId="0" xfId="0" applyAlignment="1" applyFont="1">
      <alignment horizontal="left" vertical="center"/>
    </xf>
    <xf borderId="0" fillId="0" fontId="1" numFmtId="164" xfId="0" applyAlignment="1" applyFont="1" applyNumberFormat="1">
      <alignment horizontal="center" readingOrder="0"/>
    </xf>
    <xf borderId="0" fillId="0" fontId="1" numFmtId="165" xfId="0" applyAlignment="1" applyFont="1" applyNumberFormat="1">
      <alignment horizontal="left" vertical="center"/>
    </xf>
    <xf borderId="1" fillId="0" fontId="1" numFmtId="0" xfId="0" applyBorder="1" applyFont="1"/>
    <xf borderId="1" fillId="0" fontId="4" numFmtId="0" xfId="0" applyBorder="1" applyFont="1"/>
    <xf borderId="0" fillId="0" fontId="5" numFmtId="165" xfId="0" applyAlignment="1" applyFont="1" applyNumberFormat="1">
      <alignment horizontal="left" vertical="center"/>
    </xf>
    <xf borderId="0" fillId="0" fontId="6" numFmtId="0" xfId="0" applyAlignment="1" applyFont="1">
      <alignment horizontal="left" vertical="center"/>
    </xf>
    <xf borderId="2" fillId="5" fontId="7" numFmtId="0" xfId="0" applyAlignment="1" applyBorder="1" applyFill="1" applyFont="1">
      <alignment readingOrder="0" shrinkToFit="0" wrapText="1"/>
    </xf>
    <xf borderId="3" fillId="4" fontId="8" numFmtId="0" xfId="0" applyAlignment="1" applyBorder="1" applyFill="1" applyFont="1">
      <alignment horizontal="left" readingOrder="0" vertical="center"/>
    </xf>
    <xf borderId="2" fillId="0" fontId="4" numFmtId="0" xfId="0" applyBorder="1" applyFont="1"/>
    <xf borderId="4" fillId="0" fontId="1" numFmtId="0" xfId="0" applyBorder="1" applyFont="1"/>
    <xf borderId="0" fillId="2" fontId="9" numFmtId="0" xfId="0" applyAlignment="1" applyFill="1" applyFont="1">
      <alignment readingOrder="0" vertical="center"/>
    </xf>
    <xf borderId="0" fillId="2" fontId="10" numFmtId="0" xfId="0" applyAlignment="1" applyFill="1" applyFont="1">
      <alignment readingOrder="0" vertical="center"/>
    </xf>
    <xf borderId="0" fillId="0" fontId="1" numFmtId="0" xfId="0" applyAlignment="1" applyFont="1">
      <alignment readingOrder="0" shrinkToFit="0" vertical="center" wrapText="1"/>
    </xf>
    <xf borderId="5" fillId="4" fontId="8" numFmtId="165" xfId="0" applyAlignment="1" applyBorder="1" applyFill="1" applyFont="1" applyNumberFormat="1">
      <alignment horizontal="left" readingOrder="0" vertical="center"/>
    </xf>
    <xf borderId="4" fillId="0" fontId="11" numFmtId="0" xfId="0" applyAlignment="1" applyBorder="1" applyFont="1">
      <alignment readingOrder="0"/>
    </xf>
    <xf borderId="0" fillId="2" fontId="12" numFmtId="0" xfId="0" applyAlignment="1" applyFill="1" applyFont="1">
      <alignment readingOrder="0"/>
    </xf>
    <xf borderId="0" fillId="2" fontId="13" numFmtId="0" xfId="0" applyAlignment="1" applyFill="1" applyFont="1">
      <alignment readingOrder="0"/>
    </xf>
    <xf borderId="0" fillId="2" fontId="14" numFmtId="0" xfId="0" applyAlignment="1" applyFill="1" applyFont="1">
      <alignment readingOrder="0"/>
    </xf>
    <xf borderId="1" fillId="0" fontId="15" numFmtId="0" xfId="0" applyAlignment="1" applyBorder="1" applyFont="1">
      <alignment readingOrder="0" shrinkToFit="0" wrapText="1"/>
    </xf>
    <xf borderId="2" fillId="0" fontId="16" numFmtId="0" xfId="0" applyAlignment="1" applyBorder="1" applyFont="1">
      <alignment readingOrder="0" shrinkToFit="0" wrapText="1"/>
    </xf>
    <xf borderId="0" fillId="0" fontId="5" numFmtId="0" xfId="0" applyAlignment="1" applyFont="1">
      <alignment horizontal="left" vertical="center"/>
    </xf>
    <xf borderId="0" fillId="0" fontId="17" numFmtId="0" xfId="0" applyAlignment="1" applyFont="1">
      <alignment horizontal="left" vertical="center"/>
    </xf>
    <xf borderId="2" fillId="0" fontId="18" numFmtId="0" xfId="0" applyAlignment="1" applyBorder="1" applyFont="1">
      <alignment readingOrder="0" shrinkToFit="0" wrapText="1"/>
    </xf>
    <xf borderId="6" fillId="2" fontId="19" numFmtId="0" xfId="0" applyAlignment="1" applyBorder="1" applyFill="1" applyFont="1">
      <alignment horizontal="left" readingOrder="0" vertical="center"/>
    </xf>
    <xf borderId="7" fillId="2" fontId="20" numFmtId="0" xfId="0" applyAlignment="1" applyBorder="1" applyFill="1" applyFont="1">
      <alignment horizontal="left" readingOrder="0" vertical="center"/>
    </xf>
    <xf borderId="0" fillId="3" fontId="21" numFmtId="0" xfId="0" applyAlignment="1" applyFill="1" applyFont="1">
      <alignment horizontal="left" readingOrder="0" vertical="top"/>
    </xf>
    <xf borderId="8" fillId="2" fontId="22" numFmtId="0" xfId="0" applyAlignment="1" applyBorder="1" applyFill="1" applyFont="1">
      <alignment horizontal="left" readingOrder="0" vertical="center"/>
    </xf>
    <xf borderId="9" fillId="0" fontId="1" numFmtId="0" xfId="0" applyAlignment="1" applyBorder="1" applyFont="1">
      <alignment horizontal="left" readingOrder="0" vertical="center"/>
    </xf>
    <xf borderId="9" fillId="0" fontId="1" numFmtId="165" xfId="0" applyAlignment="1" applyBorder="1" applyFont="1" applyNumberFormat="1">
      <alignment horizontal="left" readingOrder="0" vertical="center"/>
    </xf>
    <xf borderId="0" fillId="3" fontId="1" numFmtId="0" xfId="0" applyFill="1" applyFont="1"/>
    <xf borderId="9" fillId="0" fontId="1" numFmtId="165" xfId="0" applyAlignment="1" applyBorder="1" applyFont="1" applyNumberFormat="1">
      <alignment horizontal="left" vertical="center"/>
    </xf>
    <xf borderId="0" fillId="0" fontId="23" numFmtId="0" xfId="0" applyAlignment="1" applyFont="1">
      <alignment vertical="bottom"/>
    </xf>
    <xf borderId="2" fillId="0" fontId="24" numFmtId="0" xfId="0" applyAlignment="1" applyBorder="1" applyFont="1">
      <alignment readingOrder="0" shrinkToFit="0" vertical="bottom" wrapText="1"/>
    </xf>
    <xf borderId="0" fillId="0" fontId="1" numFmtId="165" xfId="0" applyAlignment="1" applyFont="1" applyNumberFormat="1">
      <alignment horizontal="left" readingOrder="0"/>
    </xf>
    <xf borderId="0" fillId="3" fontId="23" numFmtId="0" xfId="0" applyAlignment="1" applyFill="1" applyFont="1">
      <alignment vertical="bottom"/>
    </xf>
    <xf borderId="2" fillId="0" fontId="1" numFmtId="0" xfId="0" applyAlignment="1" applyBorder="1" applyFont="1">
      <alignment readingOrder="0" shrinkToFit="0" vertical="bottom" wrapText="1"/>
    </xf>
    <xf borderId="2" fillId="0" fontId="16" numFmtId="0" xfId="0" applyAlignment="1" applyBorder="1" applyFont="1">
      <alignment readingOrder="0" shrinkToFit="0" wrapText="1"/>
    </xf>
    <xf borderId="2" fillId="2" fontId="25" numFmtId="0" xfId="0" applyAlignment="1" applyBorder="1" applyFill="1" applyFont="1">
      <alignment readingOrder="0"/>
    </xf>
    <xf borderId="0" fillId="0" fontId="1" numFmtId="0" xfId="0" applyAlignment="1" applyFont="1">
      <alignment vertical="center"/>
    </xf>
    <xf borderId="2" fillId="0" fontId="1" numFmtId="0" xfId="0" applyAlignment="1" applyBorder="1" applyFont="1">
      <alignment readingOrder="0" shrinkToFit="0" vertical="center" wrapText="1"/>
    </xf>
    <xf borderId="0" fillId="3" fontId="1" numFmtId="0" xfId="0" applyAlignment="1" applyFill="1" applyFont="1">
      <alignment vertical="center"/>
    </xf>
    <xf borderId="0" fillId="0" fontId="26" numFmtId="0" xfId="0" applyAlignment="1" applyFont="1">
      <alignment horizontal="left" vertical="center"/>
    </xf>
    <xf borderId="2" fillId="0" fontId="1" numFmtId="0" xfId="0" applyAlignment="1" applyBorder="1" applyFont="1">
      <alignment readingOrder="0" shrinkToFit="0" vertical="center" wrapText="1"/>
    </xf>
    <xf borderId="9" fillId="6" fontId="26" numFmtId="0" xfId="0" applyAlignment="1" applyBorder="1" applyFill="1" applyFont="1">
      <alignment horizontal="left" readingOrder="0" vertical="center"/>
    </xf>
    <xf borderId="2" fillId="0" fontId="27" numFmtId="0" xfId="0" applyAlignment="1" applyBorder="1" applyFont="1">
      <alignment readingOrder="0" shrinkToFit="0" vertical="center" wrapText="1"/>
    </xf>
    <xf borderId="9" fillId="6" fontId="26" numFmtId="165" xfId="0" applyAlignment="1" applyBorder="1" applyFill="1" applyFont="1" applyNumberFormat="1">
      <alignment horizontal="left" vertical="center"/>
    </xf>
    <xf borderId="2" fillId="0" fontId="28" numFmtId="0" xfId="0" applyAlignment="1" applyBorder="1" applyFont="1">
      <alignment readingOrder="0"/>
    </xf>
    <xf borderId="1" fillId="0" fontId="29" numFmtId="0" xfId="0" applyAlignment="1" applyBorder="1" applyFont="1">
      <alignment readingOrder="0" shrinkToFit="0" vertical="center" wrapText="1"/>
    </xf>
    <xf borderId="1" fillId="0" fontId="28" numFmtId="0" xfId="0" applyAlignment="1" applyBorder="1" applyFont="1">
      <alignment readingOrder="0" shrinkToFit="0" wrapText="1"/>
    </xf>
    <xf borderId="0" fillId="0" fontId="30" numFmtId="0" xfId="0" applyAlignment="1" applyFont="1">
      <alignment vertical="center"/>
    </xf>
    <xf borderId="0" fillId="0" fontId="31" numFmtId="0" xfId="0" applyAlignment="1" applyFont="1">
      <alignment horizontal="right" readingOrder="0" vertical="center"/>
    </xf>
    <xf borderId="0" fillId="0" fontId="30" numFmtId="0" xfId="0" applyAlignment="1" applyFont="1">
      <alignment horizontal="right" readingOrder="0" vertical="center"/>
    </xf>
    <xf borderId="0" fillId="3" fontId="30" numFmtId="0" xfId="0" applyAlignment="1" applyFill="1" applyFont="1">
      <alignment vertical="center"/>
    </xf>
    <xf borderId="6" fillId="7" fontId="32" numFmtId="0" xfId="0" applyAlignment="1" applyBorder="1" applyFill="1" applyFont="1">
      <alignment horizontal="left" readingOrder="0" vertical="center"/>
    </xf>
    <xf borderId="7" fillId="7" fontId="33" numFmtId="0" xfId="0" applyAlignment="1" applyBorder="1" applyFill="1" applyFont="1">
      <alignment horizontal="left" readingOrder="0" vertical="center"/>
    </xf>
    <xf borderId="8" fillId="7" fontId="34" numFmtId="0" xfId="0" applyAlignment="1" applyBorder="1" applyFill="1" applyFont="1">
      <alignment horizontal="left" readingOrder="0" vertical="center"/>
    </xf>
    <xf borderId="0" fillId="0" fontId="7" numFmtId="0" xfId="0" applyAlignment="1" applyFont="1">
      <alignment readingOrder="0" vertical="center"/>
    </xf>
    <xf borderId="0" fillId="0" fontId="7" numFmtId="0" xfId="0" applyAlignment="1" applyFont="1">
      <alignment vertical="center"/>
    </xf>
    <xf borderId="0" fillId="8" fontId="35" numFmtId="0" xfId="0" applyAlignment="1" applyFill="1" applyFont="1">
      <alignment horizontal="left" readingOrder="0" vertical="center"/>
    </xf>
    <xf borderId="0" fillId="9" fontId="36" numFmtId="0" xfId="0" applyAlignment="1" applyFill="1" applyFont="1">
      <alignment horizontal="left" readingOrder="0" shrinkToFit="0" vertical="center" wrapText="0"/>
    </xf>
    <xf borderId="0" fillId="9" fontId="36" numFmtId="0" xfId="0" applyAlignment="1" applyFill="1" applyFont="1">
      <alignment readingOrder="0" shrinkToFit="0" vertical="center" wrapText="0"/>
    </xf>
    <xf borderId="10" fillId="8" fontId="37" numFmtId="0" xfId="0" applyAlignment="1" applyBorder="1" applyFill="1" applyFont="1">
      <alignment horizontal="left" readingOrder="0" vertical="center"/>
    </xf>
    <xf borderId="0" fillId="9" fontId="36" numFmtId="0" xfId="0" applyAlignment="1" applyFill="1" applyFont="1">
      <alignment horizontal="center" readingOrder="0" shrinkToFit="0" vertical="center" wrapText="0"/>
    </xf>
    <xf borderId="0" fillId="8" fontId="26" numFmtId="0" xfId="0" applyAlignment="1" applyFill="1" applyFont="1">
      <alignment horizontal="left" readingOrder="0" vertical="center"/>
    </xf>
    <xf borderId="0" fillId="10" fontId="38" numFmtId="0" xfId="0" applyAlignment="1" applyFill="1" applyFont="1">
      <alignment horizontal="center" readingOrder="0" shrinkToFit="0" textRotation="0" vertical="center" wrapText="0"/>
    </xf>
    <xf borderId="0" fillId="9" fontId="39" numFmtId="0" xfId="0" applyAlignment="1" applyFill="1" applyFont="1">
      <alignment horizontal="center" readingOrder="0" vertical="center"/>
    </xf>
    <xf borderId="0" fillId="0" fontId="40" numFmtId="0" xfId="0" applyAlignment="1" applyFont="1">
      <alignment horizontal="left" readingOrder="0" shrinkToFit="0" vertical="center" wrapText="0"/>
    </xf>
    <xf borderId="0" fillId="9" fontId="41" numFmtId="0" xfId="0" applyAlignment="1" applyFill="1" applyFont="1">
      <alignment readingOrder="0" shrinkToFit="0" vertical="center" wrapText="0"/>
    </xf>
    <xf borderId="0" fillId="0" fontId="42" numFmtId="165" xfId="0" applyAlignment="1" applyFont="1" applyNumberFormat="1">
      <alignment horizontal="center" readingOrder="0"/>
    </xf>
    <xf borderId="0" fillId="8" fontId="43" numFmtId="0" xfId="0" applyAlignment="1" applyFill="1" applyFont="1">
      <alignment horizontal="left" readingOrder="0" vertical="center"/>
    </xf>
    <xf borderId="11" fillId="0" fontId="44" numFmtId="0" xfId="0" applyAlignment="1" applyBorder="1" applyFont="1">
      <alignment horizontal="right" readingOrder="0" vertical="center"/>
    </xf>
    <xf borderId="9" fillId="8" fontId="26" numFmtId="0" xfId="0" applyAlignment="1" applyBorder="1" applyFill="1" applyFont="1">
      <alignment horizontal="left" readingOrder="0" vertical="center"/>
    </xf>
    <xf borderId="0" fillId="8" fontId="26" numFmtId="0" xfId="0" applyAlignment="1" applyFill="1" applyFont="1">
      <alignment horizontal="left" readingOrder="0" shrinkToFit="0" vertical="center" wrapText="1"/>
    </xf>
    <xf borderId="11" fillId="0" fontId="44" numFmtId="166" xfId="0" applyAlignment="1" applyBorder="1" applyFont="1" applyNumberFormat="1">
      <alignment horizontal="left" readingOrder="0" vertical="center"/>
    </xf>
    <xf borderId="9" fillId="8" fontId="26" numFmtId="165" xfId="0" applyAlignment="1" applyBorder="1" applyFill="1" applyFont="1" applyNumberFormat="1">
      <alignment horizontal="left" vertical="center"/>
    </xf>
    <xf borderId="0" fillId="0" fontId="45" numFmtId="0" xfId="0" applyAlignment="1" applyFont="1">
      <alignment horizontal="center" readingOrder="0"/>
    </xf>
    <xf borderId="11" fillId="9" fontId="46" numFmtId="167" xfId="0" applyAlignment="1" applyBorder="1" applyFill="1" applyFont="1" applyNumberFormat="1">
      <alignment horizontal="left" readingOrder="0" shrinkToFit="0" vertical="center" wrapText="0"/>
    </xf>
    <xf borderId="0" fillId="0" fontId="1" numFmtId="0" xfId="0" applyAlignment="1" applyFont="1">
      <alignment readingOrder="0"/>
    </xf>
    <xf borderId="11" fillId="9" fontId="47" numFmtId="0" xfId="0" applyAlignment="1" applyBorder="1" applyFill="1" applyFont="1">
      <alignment readingOrder="0" shrinkToFit="0" vertical="center" wrapText="0"/>
    </xf>
    <xf borderId="0" fillId="0" fontId="48" numFmtId="14" xfId="0" applyAlignment="1" applyFont="1" applyNumberFormat="1">
      <alignment horizontal="center" readingOrder="0"/>
    </xf>
    <xf borderId="11" fillId="0" fontId="44" numFmtId="166" xfId="0" applyAlignment="1" applyBorder="1" applyFont="1" applyNumberFormat="1">
      <alignment readingOrder="0" vertical="center"/>
    </xf>
    <xf borderId="12" fillId="2" fontId="49" numFmtId="0" xfId="0" applyAlignment="1" applyBorder="1" applyFill="1" applyFont="1">
      <alignment horizontal="center" vertical="center"/>
    </xf>
    <xf borderId="0" fillId="0" fontId="50" numFmtId="0" xfId="0" applyAlignment="1" applyFont="1">
      <alignment shrinkToFit="0" vertical="center" wrapText="0"/>
    </xf>
    <xf borderId="12" fillId="2" fontId="51" numFmtId="0" xfId="0" applyAlignment="1" applyBorder="1" applyFill="1" applyFont="1">
      <alignment horizontal="center" readingOrder="0" vertical="center"/>
    </xf>
    <xf borderId="13" fillId="10" fontId="52" numFmtId="0" xfId="0" applyAlignment="1" applyBorder="1" applyFill="1" applyFont="1">
      <alignment horizontal="center" readingOrder="0" shrinkToFit="0" vertical="center" wrapText="1"/>
    </xf>
    <xf borderId="12" fillId="0" fontId="4" numFmtId="0" xfId="0" applyBorder="1" applyFont="1"/>
    <xf borderId="10" fillId="10" fontId="37" numFmtId="0" xfId="0" applyAlignment="1" applyBorder="1" applyFill="1" applyFont="1">
      <alignment horizontal="left" readingOrder="0" shrinkToFit="0" vertical="center" wrapText="1"/>
    </xf>
    <xf borderId="12" fillId="2" fontId="11" numFmtId="0" xfId="0" applyAlignment="1" applyBorder="1" applyFill="1" applyFont="1">
      <alignment horizontal="right" readingOrder="0" vertical="center"/>
    </xf>
    <xf borderId="14" fillId="10" fontId="37" numFmtId="0" xfId="0" applyAlignment="1" applyBorder="1" applyFill="1" applyFont="1">
      <alignment horizontal="left" readingOrder="0" shrinkToFit="0" vertical="center" wrapText="1"/>
    </xf>
    <xf borderId="13" fillId="0" fontId="4" numFmtId="0" xfId="0" applyBorder="1" applyFont="1"/>
    <xf borderId="10" fillId="10" fontId="37" numFmtId="0" xfId="0" applyAlignment="1" applyBorder="1" applyFill="1" applyFont="1">
      <alignment horizontal="center" readingOrder="0" shrinkToFit="0" vertical="center" wrapText="1"/>
    </xf>
    <xf borderId="0" fillId="0" fontId="53" numFmtId="0" xfId="0" applyAlignment="1" applyFont="1">
      <alignment horizontal="center" vertical="center"/>
    </xf>
    <xf borderId="0" fillId="10" fontId="54" numFmtId="0" xfId="0" applyAlignment="1" applyFill="1" applyFont="1">
      <alignment horizontal="center" readingOrder="0" vertical="center"/>
    </xf>
    <xf borderId="0" fillId="10" fontId="37" numFmtId="0" xfId="0" applyAlignment="1" applyFill="1" applyFont="1">
      <alignment horizontal="left" readingOrder="0" shrinkToFit="0" vertical="center" wrapText="0"/>
    </xf>
    <xf borderId="0" fillId="10" fontId="37" numFmtId="0" xfId="0" applyAlignment="1" applyFill="1" applyFont="1">
      <alignment readingOrder="0" shrinkToFit="0" vertical="center" wrapText="0"/>
    </xf>
    <xf borderId="0" fillId="10" fontId="37" numFmtId="0" xfId="0" applyAlignment="1" applyFill="1" applyFont="1">
      <alignment readingOrder="0" shrinkToFit="0" vertical="center" wrapText="1"/>
    </xf>
    <xf borderId="0" fillId="10" fontId="37" numFmtId="10" xfId="0" applyAlignment="1" applyFill="1" applyFont="1" applyNumberFormat="1">
      <alignment horizontal="center" readingOrder="0" shrinkToFit="0" vertical="center" wrapText="1"/>
    </xf>
    <xf borderId="0" fillId="0" fontId="55" numFmtId="49" xfId="0" applyAlignment="1" applyFont="1" applyNumberFormat="1">
      <alignment readingOrder="0" vertical="center"/>
    </xf>
    <xf borderId="15" fillId="2" fontId="56" numFmtId="0" xfId="0" applyAlignment="1" applyBorder="1" applyFill="1" applyFont="1">
      <alignment horizontal="center" readingOrder="0" vertical="center"/>
    </xf>
    <xf borderId="16" fillId="0" fontId="4" numFmtId="0" xfId="0" applyBorder="1" applyFont="1"/>
    <xf borderId="17" fillId="0" fontId="30" numFmtId="0" xfId="0" applyAlignment="1" applyBorder="1" applyFont="1">
      <alignment readingOrder="0" vertical="center"/>
    </xf>
    <xf borderId="6" fillId="11" fontId="57" numFmtId="0" xfId="0" applyAlignment="1" applyBorder="1" applyFill="1" applyFont="1">
      <alignment horizontal="left" readingOrder="0" vertical="center"/>
    </xf>
    <xf borderId="17" fillId="0" fontId="16" numFmtId="168" xfId="0" applyAlignment="1" applyBorder="1" applyFont="1" applyNumberFormat="1">
      <alignment horizontal="left" readingOrder="0" shrinkToFit="0" vertical="center" wrapText="1"/>
    </xf>
    <xf borderId="17" fillId="0" fontId="16" numFmtId="0" xfId="0" applyAlignment="1" applyBorder="1" applyFont="1">
      <alignment readingOrder="0" shrinkToFit="0" vertical="center" wrapText="1"/>
    </xf>
    <xf borderId="7" fillId="11" fontId="58" numFmtId="0" xfId="0" applyAlignment="1" applyBorder="1" applyFill="1" applyFont="1">
      <alignment horizontal="left" readingOrder="0" vertical="center"/>
    </xf>
    <xf borderId="17" fillId="0" fontId="4" numFmtId="0" xfId="0" applyBorder="1" applyFont="1"/>
    <xf borderId="8" fillId="11" fontId="59" numFmtId="0" xfId="0" applyAlignment="1" applyBorder="1" applyFill="1" applyFont="1">
      <alignment horizontal="left" readingOrder="0" vertical="center"/>
    </xf>
    <xf borderId="17" fillId="0" fontId="60" numFmtId="0" xfId="0" applyAlignment="1" applyBorder="1" applyFont="1">
      <alignment readingOrder="0" shrinkToFit="0" vertical="center" wrapText="1"/>
    </xf>
    <xf borderId="17" fillId="0" fontId="16" numFmtId="165" xfId="0" applyAlignment="1" applyBorder="1" applyFont="1" applyNumberFormat="1">
      <alignment horizontal="center" readingOrder="0" shrinkToFit="0" vertical="center" wrapText="1"/>
    </xf>
    <xf borderId="0" fillId="0" fontId="55" numFmtId="0" xfId="0" applyAlignment="1" applyFont="1">
      <alignment vertical="center"/>
    </xf>
    <xf borderId="18" fillId="0" fontId="51" numFmtId="165" xfId="0" applyAlignment="1" applyBorder="1" applyFont="1" applyNumberFormat="1">
      <alignment horizontal="center" vertical="center"/>
    </xf>
    <xf borderId="19" fillId="0" fontId="4" numFmtId="0" xfId="0" applyBorder="1" applyFont="1"/>
    <xf borderId="0" fillId="0" fontId="61" numFmtId="0" xfId="0" applyFont="1"/>
    <xf borderId="17" fillId="0" fontId="16" numFmtId="0" xfId="0" applyAlignment="1" applyBorder="1" applyFont="1">
      <alignment shrinkToFit="0" vertical="center" wrapText="1"/>
    </xf>
    <xf borderId="20" fillId="0" fontId="4" numFmtId="0" xfId="0" applyBorder="1" applyFont="1"/>
    <xf borderId="21" fillId="0" fontId="4" numFmtId="0" xfId="0" applyBorder="1" applyFont="1"/>
    <xf borderId="0" fillId="0" fontId="49" numFmtId="0" xfId="0" applyAlignment="1" applyFont="1">
      <alignment horizontal="center" vertical="center"/>
    </xf>
    <xf borderId="0" fillId="0" fontId="62" numFmtId="0" xfId="0" applyFont="1"/>
    <xf borderId="22" fillId="12" fontId="56" numFmtId="0" xfId="0" applyAlignment="1" applyBorder="1" applyFill="1" applyFont="1">
      <alignment horizontal="left" readingOrder="0" vertical="center"/>
    </xf>
    <xf borderId="23" fillId="0" fontId="4" numFmtId="0" xfId="0" applyBorder="1" applyFont="1"/>
    <xf borderId="24" fillId="0" fontId="4" numFmtId="0" xfId="0" applyBorder="1" applyFont="1"/>
    <xf borderId="23" fillId="12" fontId="56" numFmtId="0" xfId="0" applyAlignment="1" applyBorder="1" applyFill="1" applyFont="1">
      <alignment horizontal="center" readingOrder="0" vertical="center"/>
    </xf>
    <xf borderId="25" fillId="0" fontId="63" numFmtId="165" xfId="0" applyAlignment="1" applyBorder="1" applyFont="1" applyNumberFormat="1">
      <alignment horizontal="left" readingOrder="0" vertical="center"/>
    </xf>
    <xf borderId="26" fillId="0" fontId="4" numFmtId="0" xfId="0" applyBorder="1" applyFont="1"/>
    <xf borderId="9" fillId="6" fontId="26" numFmtId="165" xfId="0" applyAlignment="1" applyBorder="1" applyFill="1" applyFont="1" applyNumberFormat="1">
      <alignment horizontal="left" readingOrder="0" vertical="center"/>
    </xf>
    <xf borderId="27" fillId="0" fontId="63" numFmtId="165" xfId="0" applyAlignment="1" applyBorder="1" applyFont="1" applyNumberFormat="1">
      <alignment horizontal="left" readingOrder="0" vertical="center"/>
    </xf>
    <xf borderId="0" fillId="0" fontId="8" numFmtId="0" xfId="0" applyAlignment="1" applyFont="1">
      <alignment horizontal="left" vertical="center"/>
    </xf>
    <xf borderId="9" fillId="13" fontId="8" numFmtId="0" xfId="0" applyAlignment="1" applyBorder="1" applyFill="1" applyFont="1">
      <alignment horizontal="left" readingOrder="0" vertical="center"/>
    </xf>
    <xf borderId="9" fillId="13" fontId="8" numFmtId="10" xfId="0" applyAlignment="1" applyBorder="1" applyFill="1" applyFont="1" applyNumberFormat="1">
      <alignment horizontal="left" readingOrder="0" vertical="center"/>
    </xf>
    <xf borderId="27" fillId="0" fontId="63" numFmtId="165" xfId="0" applyAlignment="1" applyBorder="1" applyFont="1" applyNumberFormat="1">
      <alignment horizontal="left" vertical="center"/>
    </xf>
    <xf borderId="9" fillId="13" fontId="8" numFmtId="165" xfId="0" applyAlignment="1" applyBorder="1" applyFill="1" applyFont="1" applyNumberFormat="1">
      <alignment horizontal="left" readingOrder="0" vertical="center"/>
    </xf>
    <xf borderId="27" fillId="0" fontId="63" numFmtId="0" xfId="0" applyAlignment="1" applyBorder="1" applyFont="1">
      <alignment horizontal="left" readingOrder="0" vertical="center"/>
    </xf>
    <xf borderId="28" fillId="0" fontId="4" numFmtId="0" xfId="0" applyBorder="1" applyFont="1"/>
    <xf borderId="29" fillId="0" fontId="63" numFmtId="10" xfId="0" applyAlignment="1" applyBorder="1" applyFont="1" applyNumberFormat="1">
      <alignment horizontal="center" readingOrder="0" vertical="center"/>
    </xf>
    <xf borderId="30" fillId="0" fontId="63" numFmtId="165" xfId="0" applyAlignment="1" applyBorder="1" applyFont="1" applyNumberFormat="1">
      <alignment horizontal="left" readingOrder="0" vertical="center"/>
    </xf>
    <xf borderId="31" fillId="0" fontId="4" numFmtId="0" xfId="0" applyBorder="1" applyFont="1"/>
    <xf borderId="32" fillId="0" fontId="63" numFmtId="165" xfId="0" applyAlignment="1" applyBorder="1" applyFont="1" applyNumberFormat="1">
      <alignment horizontal="left" readingOrder="0" vertical="center"/>
    </xf>
    <xf borderId="0" fillId="0" fontId="1" numFmtId="0" xfId="0" applyAlignment="1" applyFont="1">
      <alignment vertical="bottom"/>
    </xf>
    <xf borderId="0" fillId="0" fontId="1" numFmtId="49" xfId="0" applyAlignment="1" applyFont="1" applyNumberFormat="1">
      <alignment vertical="bottom"/>
    </xf>
    <xf borderId="33" fillId="2" fontId="64" numFmtId="0" xfId="0" applyAlignment="1" applyBorder="1" applyFill="1" applyFont="1">
      <alignment horizontal="center" readingOrder="0" vertical="center"/>
    </xf>
    <xf borderId="33" fillId="0" fontId="4" numFmtId="0" xfId="0" applyBorder="1" applyFont="1"/>
    <xf borderId="0" fillId="9" fontId="1" numFmtId="167" xfId="0" applyAlignment="1" applyFill="1" applyFont="1" applyNumberFormat="1">
      <alignment vertical="top"/>
    </xf>
    <xf borderId="0" fillId="0" fontId="1" numFmtId="49" xfId="0" applyAlignment="1" applyFont="1" applyNumberFormat="1">
      <alignment vertical="top"/>
    </xf>
    <xf borderId="0" fillId="0" fontId="1" numFmtId="0" xfId="0" applyAlignment="1" applyFont="1">
      <alignment vertical="top"/>
    </xf>
    <xf borderId="0" fillId="0" fontId="65" numFmtId="0" xfId="0" applyAlignment="1" applyFont="1">
      <alignment vertical="top"/>
    </xf>
    <xf borderId="34" fillId="0" fontId="66" numFmtId="167" xfId="0" applyBorder="1" applyFont="1" applyNumberFormat="1"/>
    <xf borderId="35" fillId="0" fontId="4" numFmtId="0" xfId="0" applyBorder="1" applyFont="1"/>
    <xf borderId="36" fillId="0" fontId="4" numFmtId="0" xfId="0" applyBorder="1" applyFont="1"/>
    <xf borderId="0" fillId="0" fontId="1" numFmtId="169" xfId="0" applyFont="1" applyNumberFormat="1"/>
    <xf borderId="0" fillId="0" fontId="55" numFmtId="0" xfId="0" applyAlignment="1" applyFont="1">
      <alignment vertical="bottom"/>
    </xf>
    <xf borderId="37" fillId="0" fontId="67" numFmtId="0" xfId="0" applyAlignment="1" applyBorder="1" applyFont="1">
      <alignment horizontal="center"/>
    </xf>
    <xf borderId="0" fillId="0" fontId="67" numFmtId="0" xfId="0" applyAlignment="1" applyFont="1">
      <alignment horizontal="center" readingOrder="0" vertical="center"/>
    </xf>
    <xf borderId="38" fillId="0" fontId="67" numFmtId="0" xfId="0" applyAlignment="1" applyBorder="1" applyFont="1">
      <alignment horizontal="center" readingOrder="0"/>
    </xf>
    <xf borderId="37" fillId="0" fontId="68" numFmtId="166" xfId="0" applyAlignment="1" applyBorder="1" applyFont="1" applyNumberFormat="1">
      <alignment horizontal="center" readingOrder="0"/>
    </xf>
    <xf borderId="0" fillId="0" fontId="68" numFmtId="165" xfId="0" applyAlignment="1" applyFont="1" applyNumberFormat="1">
      <alignment horizontal="center" readingOrder="0"/>
    </xf>
    <xf borderId="38" fillId="0" fontId="68" numFmtId="10" xfId="0" applyAlignment="1" applyBorder="1" applyFont="1" applyNumberFormat="1">
      <alignment horizontal="center"/>
    </xf>
    <xf borderId="39" fillId="0" fontId="69" numFmtId="0" xfId="0" applyAlignment="1" applyBorder="1" applyFont="1">
      <alignment vertical="bottom"/>
    </xf>
    <xf borderId="40" fillId="0" fontId="4" numFmtId="0" xfId="0" applyBorder="1" applyFont="1"/>
    <xf borderId="41" fillId="0" fontId="4" numFmtId="0" xfId="0" applyBorder="1" applyFont="1"/>
    <xf borderId="0" fillId="0" fontId="70" numFmtId="0" xfId="0" applyAlignment="1" applyFont="1">
      <alignment horizontal="left" readingOrder="0" shrinkToFit="0" vertical="bottom" wrapText="0"/>
    </xf>
    <xf borderId="37" fillId="0" fontId="71" numFmtId="165" xfId="0" applyAlignment="1" applyBorder="1" applyFont="1" applyNumberFormat="1">
      <alignment horizontal="center" vertical="center"/>
    </xf>
    <xf borderId="38" fillId="0" fontId="4" numFmtId="0" xfId="0" applyBorder="1" applyFont="1"/>
    <xf borderId="0" fillId="0" fontId="1" numFmtId="0" xfId="0" applyAlignment="1" applyFont="1">
      <alignment readingOrder="0" vertical="top"/>
    </xf>
    <xf borderId="0" fillId="0" fontId="70" numFmtId="9" xfId="0" applyAlignment="1" applyFont="1" applyNumberFormat="1">
      <alignment horizontal="left" readingOrder="0" shrinkToFit="0" vertical="bottom" wrapText="0"/>
    </xf>
    <xf borderId="42" fillId="0" fontId="4" numFmtId="0" xfId="0" applyBorder="1" applyFont="1"/>
    <xf borderId="43" fillId="0" fontId="4" numFmtId="0" xfId="0" applyBorder="1" applyFont="1"/>
    <xf borderId="44" fillId="0" fontId="4" numFmtId="0" xfId="0" applyBorder="1" applyFont="1"/>
    <xf borderId="37" fillId="0" fontId="72" numFmtId="0" xfId="0" applyAlignment="1" applyBorder="1" applyFont="1">
      <alignment horizontal="center" readingOrder="0" shrinkToFit="0" vertical="center" wrapText="0"/>
    </xf>
    <xf borderId="0" fillId="0" fontId="73" numFmtId="0" xfId="0" applyAlignment="1" applyFont="1">
      <alignment horizontal="right" readingOrder="0" vertical="center"/>
    </xf>
    <xf borderId="0" fillId="0" fontId="73" numFmtId="169" xfId="0" applyAlignment="1" applyFont="1" applyNumberFormat="1">
      <alignment horizontal="left" readingOrder="0" vertical="center"/>
    </xf>
    <xf borderId="0" fillId="0" fontId="74" numFmtId="0" xfId="0" applyAlignment="1" applyFont="1">
      <alignment horizontal="left" readingOrder="0" shrinkToFit="0" vertical="top" wrapText="0"/>
    </xf>
    <xf borderId="39" fillId="0" fontId="4" numFmtId="0" xfId="0" applyBorder="1" applyFont="1"/>
    <xf borderId="0" fillId="0" fontId="26" numFmtId="0" xfId="0" applyAlignment="1" applyFont="1">
      <alignment horizontal="right" vertical="center"/>
    </xf>
    <xf borderId="0" fillId="0" fontId="1" numFmtId="170" xfId="0" applyAlignment="1" applyFont="1" applyNumberFormat="1">
      <alignment horizontal="right" vertical="center"/>
    </xf>
    <xf borderId="0" fillId="0" fontId="75" numFmtId="165" xfId="0" applyAlignment="1" applyFont="1" applyNumberFormat="1">
      <alignment horizontal="right" readingOrder="0" vertical="top"/>
    </xf>
    <xf borderId="0" fillId="0" fontId="75" numFmtId="165" xfId="0" applyAlignment="1" applyFont="1" applyNumberFormat="1">
      <alignment horizontal="left" readingOrder="0" vertical="top"/>
    </xf>
    <xf borderId="0" fillId="0" fontId="1" numFmtId="170" xfId="0" applyAlignment="1" applyFont="1" applyNumberFormat="1">
      <alignment horizontal="left"/>
    </xf>
    <xf borderId="0" fillId="0" fontId="1" numFmtId="49" xfId="0" applyFont="1" applyNumberFormat="1"/>
    <xf borderId="0" fillId="0" fontId="1" numFmtId="49" xfId="0" applyAlignment="1" applyFont="1" applyNumberFormat="1">
      <alignment readingOrder="0"/>
    </xf>
    <xf borderId="0" fillId="0" fontId="76" numFmtId="0" xfId="0" applyAlignment="1" applyFont="1">
      <alignment horizontal="left" readingOrder="0" vertical="center"/>
    </xf>
    <xf borderId="0" fillId="0" fontId="77" numFmtId="0" xfId="0" applyAlignment="1" applyFont="1">
      <alignment vertical="center"/>
    </xf>
    <xf borderId="0" fillId="0" fontId="78" numFmtId="0" xfId="0" applyAlignment="1" applyFont="1">
      <alignment horizontal="left" readingOrder="0" vertical="center"/>
    </xf>
    <xf borderId="0" fillId="0" fontId="77" numFmtId="49" xfId="0" applyAlignment="1" applyFont="1" applyNumberFormat="1">
      <alignment vertical="center"/>
    </xf>
    <xf borderId="0" fillId="0" fontId="79" numFmtId="0" xfId="0" applyAlignment="1" applyFont="1">
      <alignment horizontal="left" readingOrder="0" vertical="center"/>
    </xf>
    <xf borderId="45" fillId="0" fontId="76" numFmtId="0" xfId="0" applyAlignment="1" applyBorder="1" applyFont="1">
      <alignment horizontal="left" readingOrder="0" vertical="center"/>
    </xf>
    <xf borderId="46" fillId="14" fontId="80" numFmtId="0" xfId="0" applyAlignment="1" applyBorder="1" applyFill="1" applyFont="1">
      <alignment horizontal="left" readingOrder="0" vertical="center"/>
    </xf>
    <xf borderId="46" fillId="15" fontId="80" numFmtId="0" xfId="0" applyAlignment="1" applyBorder="1" applyFill="1" applyFont="1">
      <alignment horizontal="left" readingOrder="0" vertical="center"/>
    </xf>
    <xf borderId="46" fillId="16" fontId="80" numFmtId="0" xfId="0" applyAlignment="1" applyBorder="1" applyFill="1" applyFont="1">
      <alignment horizontal="left" readingOrder="0" vertical="center"/>
    </xf>
    <xf borderId="46" fillId="17" fontId="80" numFmtId="0" xfId="0" applyAlignment="1" applyBorder="1" applyFill="1" applyFont="1">
      <alignment horizontal="left" readingOrder="0" vertical="center"/>
    </xf>
    <xf borderId="0" fillId="0" fontId="1" numFmtId="49" xfId="0" applyAlignment="1" applyFont="1" applyNumberFormat="1">
      <alignment readingOrder="0" vertical="center"/>
    </xf>
    <xf borderId="46" fillId="18" fontId="80" numFmtId="0" xfId="0" applyAlignment="1" applyBorder="1" applyFill="1" applyFont="1">
      <alignment horizontal="left" readingOrder="0" vertical="center"/>
    </xf>
    <xf borderId="47" fillId="19" fontId="80" numFmtId="0" xfId="0" applyAlignment="1" applyBorder="1" applyFill="1" applyFont="1">
      <alignment horizontal="left" readingOrder="0" vertical="center"/>
    </xf>
    <xf borderId="46" fillId="0" fontId="4" numFmtId="0" xfId="0" applyBorder="1" applyFont="1"/>
    <xf borderId="47" fillId="20" fontId="80" numFmtId="0" xfId="0" applyAlignment="1" applyBorder="1" applyFill="1" applyFont="1">
      <alignment horizontal="left" readingOrder="0" vertical="center"/>
    </xf>
    <xf borderId="46" fillId="21" fontId="80" numFmtId="0" xfId="0" applyAlignment="1" applyBorder="1" applyFill="1" applyFont="1">
      <alignment horizontal="left" readingOrder="0" vertical="center"/>
    </xf>
    <xf borderId="48" fillId="0" fontId="8" numFmtId="165" xfId="0" applyAlignment="1" applyBorder="1" applyFont="1" applyNumberFormat="1">
      <alignment horizontal="left" vertical="center"/>
    </xf>
    <xf borderId="0" fillId="0" fontId="55" numFmtId="49" xfId="0" applyAlignment="1" applyFont="1" applyNumberFormat="1">
      <alignment readingOrder="0" vertical="bottom"/>
    </xf>
    <xf borderId="49" fillId="0" fontId="8" numFmtId="165" xfId="0" applyAlignment="1" applyBorder="1" applyFont="1" applyNumberFormat="1">
      <alignment horizontal="left" vertical="center"/>
    </xf>
    <xf borderId="50" fillId="0" fontId="4" numFmtId="0" xfId="0" applyBorder="1" applyFont="1"/>
    <xf borderId="0" fillId="0" fontId="55" numFmtId="49" xfId="0" applyAlignment="1" applyFont="1" applyNumberFormat="1">
      <alignment vertical="bottom"/>
    </xf>
    <xf borderId="0" fillId="0" fontId="81" numFmtId="49" xfId="0" applyAlignment="1" applyFont="1" applyNumberFormat="1">
      <alignment horizontal="left"/>
    </xf>
    <xf borderId="0" fillId="0" fontId="82" numFmtId="49" xfId="0" applyAlignment="1" applyFont="1" applyNumberFormat="1">
      <alignment horizontal="right"/>
    </xf>
    <xf borderId="0" fillId="9" fontId="55" numFmtId="49" xfId="0" applyAlignment="1" applyFill="1" applyFont="1" applyNumberFormat="1">
      <alignment vertical="bottom"/>
    </xf>
    <xf borderId="0" fillId="0" fontId="55" numFmtId="49" xfId="0" applyAlignment="1" applyFont="1" applyNumberFormat="1">
      <alignment vertical="center"/>
    </xf>
    <xf borderId="0" fillId="0" fontId="83" numFmtId="49" xfId="0" applyAlignment="1" applyFont="1" applyNumberFormat="1">
      <alignment vertical="top"/>
    </xf>
    <xf borderId="0" fillId="0" fontId="84" numFmtId="49" xfId="0" applyAlignment="1" applyFont="1" applyNumberFormat="1">
      <alignment horizontal="left" readingOrder="0" vertical="top"/>
    </xf>
    <xf borderId="0" fillId="0" fontId="5" numFmtId="49" xfId="0" applyAlignment="1" applyFont="1" applyNumberFormat="1">
      <alignment vertical="top"/>
    </xf>
    <xf borderId="0" fillId="0" fontId="83" numFmtId="49" xfId="0" applyAlignment="1" applyFont="1" applyNumberFormat="1">
      <alignment horizontal="right" vertical="top"/>
    </xf>
    <xf borderId="0" fillId="0" fontId="85" numFmtId="49" xfId="0" applyAlignment="1" applyFont="1" applyNumberFormat="1">
      <alignment horizontal="left" vertical="top"/>
    </xf>
    <xf borderId="51" fillId="0" fontId="65" numFmtId="49" xfId="0" applyAlignment="1" applyBorder="1" applyFont="1" applyNumberFormat="1">
      <alignment vertical="center"/>
    </xf>
    <xf borderId="7" fillId="22" fontId="86" numFmtId="49" xfId="0" applyAlignment="1" applyBorder="1" applyFill="1" applyFont="1" applyNumberFormat="1">
      <alignment horizontal="left" readingOrder="0" vertical="center"/>
    </xf>
    <xf borderId="7" fillId="22" fontId="87" numFmtId="49" xfId="0" applyAlignment="1" applyBorder="1" applyFill="1" applyFont="1" applyNumberFormat="1">
      <alignment horizontal="left" vertical="center"/>
    </xf>
    <xf borderId="7" fillId="22" fontId="86" numFmtId="49" xfId="0" applyAlignment="1" applyBorder="1" applyFill="1" applyFont="1" applyNumberFormat="1">
      <alignment horizontal="right" readingOrder="0" vertical="center"/>
    </xf>
    <xf borderId="51" fillId="0" fontId="65" numFmtId="49" xfId="0" applyAlignment="1" applyBorder="1" applyFont="1" applyNumberFormat="1">
      <alignment horizontal="right" vertical="center"/>
    </xf>
    <xf borderId="7" fillId="22" fontId="88" numFmtId="49" xfId="0" applyAlignment="1" applyBorder="1" applyFill="1" applyFont="1" applyNumberFormat="1">
      <alignment horizontal="left" vertical="center"/>
    </xf>
    <xf borderId="7" fillId="22" fontId="88" numFmtId="49" xfId="0" applyAlignment="1" applyBorder="1" applyFill="1" applyFont="1" applyNumberFormat="1">
      <alignment horizontal="left" readingOrder="0" vertical="center"/>
    </xf>
    <xf borderId="7" fillId="0" fontId="4" numFmtId="0" xfId="0" applyBorder="1" applyFont="1"/>
    <xf borderId="0" fillId="0" fontId="65" numFmtId="171" xfId="0" applyAlignment="1" applyFont="1" applyNumberFormat="1">
      <alignment vertical="center"/>
    </xf>
    <xf borderId="52" fillId="0" fontId="52" numFmtId="49" xfId="0" applyAlignment="1" applyBorder="1" applyFont="1" applyNumberFormat="1">
      <alignment readingOrder="0" vertical="center"/>
    </xf>
    <xf borderId="53" fillId="0" fontId="4" numFmtId="0" xfId="0" applyBorder="1" applyFont="1"/>
    <xf borderId="54" fillId="0" fontId="16" numFmtId="165" xfId="0" applyAlignment="1" applyBorder="1" applyFont="1" applyNumberFormat="1">
      <alignment horizontal="right" readingOrder="0" vertical="center"/>
    </xf>
    <xf borderId="55" fillId="0" fontId="63" numFmtId="165" xfId="0" applyAlignment="1" applyBorder="1" applyFont="1" applyNumberFormat="1">
      <alignment horizontal="right" readingOrder="0" vertical="center"/>
    </xf>
    <xf borderId="0" fillId="0" fontId="65" numFmtId="49" xfId="0" applyAlignment="1" applyFont="1" applyNumberFormat="1">
      <alignment horizontal="right" vertical="center"/>
    </xf>
    <xf borderId="56" fillId="0" fontId="52" numFmtId="49" xfId="0" applyAlignment="1" applyBorder="1" applyFont="1" applyNumberFormat="1">
      <alignment readingOrder="0" vertical="center"/>
    </xf>
    <xf borderId="57" fillId="0" fontId="4" numFmtId="0" xfId="0" applyBorder="1" applyFont="1"/>
    <xf borderId="58" fillId="0" fontId="4" numFmtId="0" xfId="0" applyBorder="1" applyFont="1"/>
    <xf borderId="52" fillId="0" fontId="63" numFmtId="165" xfId="0" applyAlignment="1" applyBorder="1" applyFont="1" applyNumberFormat="1">
      <alignment horizontal="right" readingOrder="0" vertical="center"/>
    </xf>
    <xf borderId="59" fillId="0" fontId="16" numFmtId="165" xfId="0" applyAlignment="1" applyBorder="1" applyFont="1" applyNumberFormat="1">
      <alignment horizontal="right" readingOrder="0" vertical="center"/>
    </xf>
    <xf borderId="57" fillId="0" fontId="63" numFmtId="165" xfId="0" applyAlignment="1" applyBorder="1" applyFont="1" applyNumberFormat="1">
      <alignment horizontal="right" readingOrder="0" vertical="center"/>
    </xf>
    <xf borderId="0" fillId="0" fontId="55" numFmtId="49" xfId="0" applyAlignment="1" applyFont="1" applyNumberFormat="1">
      <alignment horizontal="right" vertical="center"/>
    </xf>
    <xf borderId="0" fillId="0" fontId="55" numFmtId="171" xfId="0" applyAlignment="1" applyFont="1" applyNumberFormat="1">
      <alignment vertical="center"/>
    </xf>
    <xf borderId="56" fillId="0" fontId="63" numFmtId="165" xfId="0" applyAlignment="1" applyBorder="1" applyFont="1" applyNumberFormat="1">
      <alignment horizontal="right" readingOrder="0" vertical="center"/>
    </xf>
    <xf borderId="56" fillId="0" fontId="89" numFmtId="171" xfId="0" applyAlignment="1" applyBorder="1" applyFont="1" applyNumberFormat="1">
      <alignment readingOrder="0"/>
    </xf>
    <xf borderId="59" fillId="0" fontId="16" numFmtId="170" xfId="0" applyAlignment="1" applyBorder="1" applyFont="1" applyNumberFormat="1">
      <alignment horizontal="right" readingOrder="0" vertical="center"/>
    </xf>
    <xf borderId="56" fillId="0" fontId="89" numFmtId="4" xfId="0" applyAlignment="1" applyBorder="1" applyFont="1" applyNumberFormat="1">
      <alignment readingOrder="0"/>
    </xf>
    <xf borderId="0" fillId="0" fontId="1" numFmtId="171" xfId="0" applyFont="1" applyNumberFormat="1"/>
    <xf borderId="60" fillId="0" fontId="73" numFmtId="49" xfId="0" applyAlignment="1" applyBorder="1" applyFont="1" applyNumberFormat="1">
      <alignment readingOrder="0" vertical="center"/>
    </xf>
    <xf borderId="60" fillId="0" fontId="4" numFmtId="0" xfId="0" applyBorder="1" applyFont="1"/>
    <xf borderId="60" fillId="0" fontId="1" numFmtId="165" xfId="0" applyAlignment="1" applyBorder="1" applyFont="1" applyNumberFormat="1">
      <alignment vertical="bottom"/>
    </xf>
    <xf borderId="0" fillId="0" fontId="73" numFmtId="49" xfId="0" applyAlignment="1" applyFont="1" applyNumberFormat="1">
      <alignment readingOrder="0" vertical="center"/>
    </xf>
    <xf borderId="0" fillId="0" fontId="1" numFmtId="165" xfId="0" applyAlignment="1" applyFont="1" applyNumberFormat="1">
      <alignment vertical="bottom"/>
    </xf>
    <xf borderId="0" fillId="0" fontId="1" numFmtId="165" xfId="0" applyAlignment="1" applyFont="1" applyNumberFormat="1">
      <alignment readingOrder="0" vertical="bottom"/>
    </xf>
    <xf borderId="61" fillId="0" fontId="1" numFmtId="49" xfId="0" applyAlignment="1" applyBorder="1" applyFont="1" applyNumberFormat="1">
      <alignment vertical="center"/>
    </xf>
    <xf borderId="62" fillId="23" fontId="90" numFmtId="49" xfId="0" applyAlignment="1" applyBorder="1" applyFill="1" applyFont="1" applyNumberFormat="1">
      <alignment vertical="center"/>
    </xf>
    <xf borderId="63" fillId="23" fontId="90" numFmtId="49" xfId="0" applyAlignment="1" applyBorder="1" applyFill="1" applyFont="1" applyNumberFormat="1">
      <alignment readingOrder="0" vertical="center"/>
    </xf>
    <xf borderId="63" fillId="23" fontId="90" numFmtId="49" xfId="0" applyAlignment="1" applyBorder="1" applyFill="1" applyFont="1" applyNumberFormat="1">
      <alignment readingOrder="0" vertical="center"/>
    </xf>
    <xf borderId="0" fillId="0" fontId="1" numFmtId="49" xfId="0" applyAlignment="1" applyFont="1" applyNumberFormat="1">
      <alignment vertical="center"/>
    </xf>
    <xf borderId="64" fillId="0" fontId="73" numFmtId="49" xfId="0" applyAlignment="1" applyBorder="1" applyFont="1" applyNumberFormat="1">
      <alignment readingOrder="0" vertical="center"/>
    </xf>
    <xf borderId="65" fillId="0" fontId="4" numFmtId="0" xfId="0" applyBorder="1" applyFont="1"/>
    <xf borderId="66" fillId="0" fontId="4" numFmtId="0" xfId="0" applyBorder="1" applyFont="1"/>
    <xf borderId="61" fillId="0" fontId="1" numFmtId="171" xfId="0" applyBorder="1" applyFont="1" applyNumberFormat="1"/>
    <xf borderId="67" fillId="0" fontId="89" numFmtId="172" xfId="0" applyAlignment="1" applyBorder="1" applyFont="1" applyNumberFormat="1">
      <alignment horizontal="left"/>
    </xf>
    <xf borderId="63" fillId="0" fontId="89" numFmtId="165" xfId="0" applyAlignment="1" applyBorder="1" applyFont="1" applyNumberFormat="1">
      <alignment horizontal="left"/>
    </xf>
    <xf borderId="63" fillId="0" fontId="89" numFmtId="165" xfId="0" applyAlignment="1" applyBorder="1" applyFont="1" applyNumberFormat="1">
      <alignment horizontal="right" readingOrder="0" vertical="bottom"/>
    </xf>
    <xf borderId="68" fillId="0" fontId="4" numFmtId="0" xfId="0" applyBorder="1" applyFont="1"/>
    <xf borderId="69" fillId="0" fontId="4" numFmtId="0" xfId="0" applyBorder="1" applyFont="1"/>
    <xf borderId="70" fillId="0" fontId="63" numFmtId="0" xfId="0" applyAlignment="1" applyBorder="1" applyFont="1">
      <alignment horizontal="left" readingOrder="0" vertical="center"/>
    </xf>
    <xf borderId="71" fillId="0" fontId="4" numFmtId="0" xfId="0" applyBorder="1" applyFont="1"/>
    <xf borderId="72" fillId="0" fontId="63" numFmtId="165" xfId="0" applyAlignment="1" applyBorder="1" applyFont="1" applyNumberFormat="1">
      <alignment horizontal="left" readingOrder="0" vertical="center"/>
    </xf>
    <xf borderId="72" fillId="0" fontId="63" numFmtId="165" xfId="0" applyAlignment="1" applyBorder="1" applyFont="1" applyNumberFormat="1">
      <alignment horizontal="left" vertical="center"/>
    </xf>
    <xf borderId="72" fillId="0" fontId="63" numFmtId="3" xfId="0" applyAlignment="1" applyBorder="1" applyFont="1" applyNumberFormat="1">
      <alignment horizontal="left" vertical="center"/>
    </xf>
    <xf borderId="73" fillId="0" fontId="63" numFmtId="3" xfId="0" applyAlignment="1" applyBorder="1" applyFont="1" applyNumberFormat="1">
      <alignment horizontal="left" vertical="center"/>
    </xf>
    <xf borderId="71" fillId="0" fontId="63" numFmtId="3" xfId="0" applyAlignment="1" applyBorder="1" applyFont="1" applyNumberFormat="1">
      <alignment horizontal="left" vertical="center"/>
    </xf>
    <xf borderId="74" fillId="0" fontId="63" numFmtId="10" xfId="0" applyAlignment="1" applyBorder="1" applyFont="1" applyNumberFormat="1">
      <alignment horizontal="center" vertical="center"/>
    </xf>
    <xf borderId="0" fillId="0" fontId="63" numFmtId="0" xfId="0" applyAlignment="1" applyFont="1">
      <alignment horizontal="left" readingOrder="0" vertical="center"/>
    </xf>
    <xf borderId="0" fillId="0" fontId="63" numFmtId="3" xfId="0" applyAlignment="1" applyFont="1" applyNumberFormat="1">
      <alignment horizontal="left" vertical="center"/>
    </xf>
    <xf borderId="0" fillId="0" fontId="55" numFmtId="0" xfId="0" applyFont="1"/>
    <xf borderId="0" fillId="0" fontId="51" numFmtId="3" xfId="0" applyAlignment="1" applyFont="1" applyNumberFormat="1">
      <alignment horizontal="center" vertical="center"/>
    </xf>
    <xf borderId="0" fillId="0" fontId="91" numFmtId="0" xfId="0" applyAlignment="1" applyFont="1">
      <alignment readingOrder="0"/>
    </xf>
    <xf borderId="0" fillId="0" fontId="56" numFmtId="0" xfId="0" applyAlignment="1" applyFont="1">
      <alignment horizontal="center" vertical="center"/>
    </xf>
    <xf borderId="75" fillId="0" fontId="1" numFmtId="0" xfId="0" applyBorder="1" applyFont="1"/>
    <xf borderId="76" fillId="0" fontId="4" numFmtId="0" xfId="0" applyBorder="1" applyFont="1"/>
    <xf borderId="77" fillId="0" fontId="4" numFmtId="0" xfId="0" applyBorder="1" applyFont="1"/>
    <xf borderId="0" fillId="0" fontId="40" numFmtId="0" xfId="0" applyAlignment="1" applyFont="1">
      <alignment horizontal="left" vertical="center"/>
    </xf>
    <xf borderId="78" fillId="0" fontId="4" numFmtId="0" xfId="0" applyBorder="1" applyFont="1"/>
    <xf borderId="79" fillId="0" fontId="4" numFmtId="0" xfId="0" applyBorder="1" applyFont="1"/>
    <xf borderId="0" fillId="0" fontId="63" numFmtId="0" xfId="0" applyAlignment="1" applyFont="1">
      <alignment horizontal="center" vertical="center"/>
    </xf>
    <xf borderId="80" fillId="0" fontId="4" numFmtId="0" xfId="0" applyBorder="1" applyFont="1"/>
    <xf borderId="81" fillId="0" fontId="4" numFmtId="0" xfId="0" applyBorder="1" applyFont="1"/>
    <xf borderId="82" fillId="0" fontId="4" numFmtId="0" xfId="0" applyBorder="1" applyFont="1"/>
    <xf borderId="0" fillId="0" fontId="56" numFmtId="0" xfId="0" applyAlignment="1" applyFont="1">
      <alignment horizontal="left" readingOrder="0" vertical="center"/>
    </xf>
    <xf borderId="0" fillId="0" fontId="92" numFmtId="0" xfId="0" applyAlignment="1" applyFont="1">
      <alignment horizontal="center" readingOrder="0" vertical="center"/>
    </xf>
    <xf borderId="0" fillId="0" fontId="63" numFmtId="165" xfId="0" applyAlignment="1" applyFont="1" applyNumberFormat="1">
      <alignment horizontal="left" vertical="center"/>
    </xf>
    <xf borderId="61" fillId="0" fontId="7" numFmtId="171" xfId="0" applyAlignment="1" applyBorder="1" applyFont="1" applyNumberFormat="1">
      <alignment vertical="center"/>
    </xf>
    <xf borderId="0" fillId="10" fontId="40" numFmtId="171" xfId="0" applyAlignment="1" applyFill="1" applyFont="1" applyNumberFormat="1">
      <alignment vertical="center"/>
    </xf>
    <xf borderId="61" fillId="0" fontId="4" numFmtId="0" xfId="0" applyBorder="1" applyFont="1"/>
    <xf borderId="61" fillId="10" fontId="40" numFmtId="165" xfId="0" applyAlignment="1" applyBorder="1" applyFill="1" applyFont="1" applyNumberFormat="1">
      <alignment horizontal="right" vertical="center"/>
    </xf>
    <xf borderId="0" fillId="0" fontId="7" numFmtId="49" xfId="0" applyAlignment="1" applyFont="1" applyNumberFormat="1">
      <alignment vertical="center"/>
    </xf>
    <xf borderId="49" fillId="0" fontId="4" numFmtId="0" xfId="0" applyBorder="1" applyFont="1"/>
    <xf borderId="55" fillId="0" fontId="4" numFmtId="0" xfId="0" applyBorder="1" applyFont="1"/>
    <xf borderId="0" fillId="0" fontId="93" numFmtId="0" xfId="0" applyAlignment="1" applyFont="1">
      <alignment horizontal="left" vertical="center"/>
    </xf>
    <xf borderId="0" fillId="0" fontId="7" numFmtId="171" xfId="0" applyAlignment="1" applyFont="1" applyNumberFormat="1">
      <alignment vertical="center"/>
    </xf>
    <xf borderId="0" fillId="0" fontId="93" numFmtId="165" xfId="0" applyAlignment="1" applyFont="1" applyNumberFormat="1">
      <alignment horizontal="left" vertical="center"/>
    </xf>
    <xf borderId="0" fillId="0" fontId="63" numFmtId="49" xfId="0" applyAlignment="1" applyFont="1" applyNumberFormat="1">
      <alignment horizontal="right" readingOrder="0"/>
    </xf>
    <xf borderId="0" fillId="0" fontId="63" numFmtId="49" xfId="0" applyAlignment="1" applyFont="1" applyNumberFormat="1">
      <alignment horizontal="right" vertical="center"/>
    </xf>
    <xf borderId="0" fillId="0" fontId="55" numFmtId="49" xfId="0" applyAlignment="1" applyFont="1" applyNumberFormat="1">
      <alignment horizontal="right" readingOrder="0" vertical="center"/>
    </xf>
    <xf borderId="0" fillId="0" fontId="89" numFmtId="49" xfId="0" applyAlignment="1" applyFont="1" applyNumberFormat="1">
      <alignment readingOrder="0"/>
    </xf>
    <xf borderId="0" fillId="0" fontId="94" numFmtId="0" xfId="0" applyAlignment="1" applyFont="1">
      <alignment horizontal="left" vertical="center"/>
    </xf>
    <xf borderId="0" fillId="0" fontId="1" numFmtId="165" xfId="0" applyAlignment="1" applyFont="1" applyNumberFormat="1">
      <alignment horizontal="left"/>
    </xf>
    <xf borderId="0" fillId="0" fontId="5" numFmtId="0" xfId="0" applyAlignment="1" applyFont="1">
      <alignment vertical="center"/>
    </xf>
    <xf borderId="8" fillId="0" fontId="4" numFmtId="0" xfId="0" applyBorder="1" applyFont="1"/>
    <xf borderId="17" fillId="25" fontId="5" numFmtId="0" xfId="0" applyAlignment="1" applyBorder="1" applyFill="1" applyFont="1">
      <alignment readingOrder="0" vertical="center"/>
    </xf>
    <xf borderId="0" fillId="24" fontId="93" numFmtId="0" xfId="0" applyAlignment="1" applyFill="1" applyFont="1">
      <alignment horizontal="left" vertical="center"/>
    </xf>
    <xf borderId="17" fillId="25" fontId="95" numFmtId="165" xfId="0" applyAlignment="1" applyBorder="1" applyFill="1" applyFont="1" applyNumberFormat="1">
      <alignment horizontal="left" readingOrder="0" vertical="center"/>
    </xf>
    <xf borderId="0" fillId="0" fontId="96" numFmtId="0" xfId="0" applyAlignment="1" applyFont="1">
      <alignment horizontal="left" vertical="center"/>
    </xf>
    <xf borderId="0" fillId="0" fontId="97" numFmtId="0" xfId="0" applyAlignment="1" applyFont="1">
      <alignment horizontal="left" vertical="center"/>
    </xf>
    <xf borderId="17" fillId="25" fontId="95" numFmtId="0" xfId="0" applyAlignment="1" applyBorder="1" applyFill="1" applyFont="1">
      <alignment readingOrder="0" vertical="center"/>
    </xf>
    <xf borderId="9" fillId="6" fontId="37" numFmtId="0" xfId="0" applyAlignment="1" applyBorder="1" applyFill="1" applyFont="1">
      <alignment horizontal="left" readingOrder="0" vertical="center"/>
    </xf>
    <xf borderId="17" fillId="25" fontId="5" numFmtId="0" xfId="0" applyAlignment="1" applyBorder="1" applyFill="1" applyFont="1">
      <alignment readingOrder="0" vertical="center"/>
    </xf>
    <xf borderId="55" fillId="0" fontId="1" numFmtId="0" xfId="0" applyAlignment="1" applyBorder="1" applyFont="1">
      <alignment readingOrder="0"/>
    </xf>
    <xf borderId="55" fillId="0" fontId="1" numFmtId="165" xfId="0" applyAlignment="1" applyBorder="1" applyFont="1" applyNumberFormat="1">
      <alignment horizontal="left" readingOrder="0"/>
    </xf>
    <xf borderId="9" fillId="6" fontId="37" numFmtId="165" xfId="0" applyAlignment="1" applyBorder="1" applyFill="1" applyFont="1" applyNumberFormat="1">
      <alignment horizontal="left" vertical="center"/>
    </xf>
    <xf borderId="57" fillId="0" fontId="1" numFmtId="0" xfId="0" applyAlignment="1" applyBorder="1" applyFont="1">
      <alignment readingOrder="0"/>
    </xf>
    <xf borderId="57" fillId="0" fontId="1" numFmtId="168" xfId="0" applyAlignment="1" applyBorder="1" applyFont="1" applyNumberFormat="1">
      <alignment readingOrder="0"/>
    </xf>
    <xf borderId="57" fillId="0" fontId="1" numFmtId="14" xfId="0" applyAlignment="1" applyBorder="1" applyFont="1" applyNumberFormat="1">
      <alignment readingOrder="0"/>
    </xf>
    <xf borderId="57" fillId="0" fontId="1" numFmtId="0" xfId="0" applyAlignment="1" applyBorder="1" applyFont="1">
      <alignment readingOrder="0"/>
    </xf>
    <xf borderId="57" fillId="0" fontId="1" numFmtId="0" xfId="0" applyBorder="1" applyFont="1"/>
    <xf borderId="0" fillId="26" fontId="93" numFmtId="0" xfId="0" applyAlignment="1" applyFill="1" applyFont="1">
      <alignment horizontal="left" vertical="center"/>
    </xf>
    <xf borderId="57" fillId="0" fontId="1" numFmtId="165" xfId="0" applyAlignment="1" applyBorder="1" applyFont="1" applyNumberFormat="1">
      <alignment horizontal="left" readingOrder="0"/>
    </xf>
    <xf borderId="6" fillId="27" fontId="98" numFmtId="0" xfId="0" applyAlignment="1" applyBorder="1" applyFill="1" applyFont="1">
      <alignment horizontal="left" readingOrder="0" vertical="center"/>
    </xf>
    <xf borderId="7" fillId="27" fontId="99" numFmtId="0" xfId="0" applyAlignment="1" applyBorder="1" applyFill="1" applyFont="1">
      <alignment horizontal="left" readingOrder="0" vertical="center"/>
    </xf>
    <xf borderId="8" fillId="27" fontId="100" numFmtId="0" xfId="0" applyAlignment="1" applyBorder="1" applyFill="1" applyFont="1">
      <alignment horizontal="left" readingOrder="0" vertical="center"/>
    </xf>
    <xf borderId="0" fillId="9" fontId="36" numFmtId="0" xfId="0" applyAlignment="1" applyFill="1" applyFont="1">
      <alignment readingOrder="0" shrinkToFit="0" vertical="center" wrapText="0"/>
    </xf>
    <xf borderId="0" fillId="0" fontId="7" numFmtId="168" xfId="0" applyAlignment="1" applyFont="1" applyNumberFormat="1">
      <alignment horizontal="left" vertical="center"/>
    </xf>
    <xf borderId="0" fillId="0" fontId="7" numFmtId="0" xfId="0" applyAlignment="1" applyFont="1">
      <alignment horizontal="left" vertical="center"/>
    </xf>
    <xf borderId="0" fillId="0" fontId="7" numFmtId="0" xfId="0" applyAlignment="1" applyFont="1">
      <alignment horizontal="center" vertical="center"/>
    </xf>
    <xf borderId="83" fillId="0" fontId="7" numFmtId="0" xfId="0" applyAlignment="1" applyBorder="1" applyFont="1">
      <alignment vertical="center"/>
    </xf>
    <xf borderId="11" fillId="9" fontId="101" numFmtId="166" xfId="0" applyAlignment="1" applyBorder="1" applyFill="1" applyFont="1" applyNumberFormat="1">
      <alignment horizontal="left" readingOrder="0" shrinkToFit="0" vertical="center" wrapText="0"/>
    </xf>
    <xf borderId="83" fillId="0" fontId="7" numFmtId="168" xfId="0" applyAlignment="1" applyBorder="1" applyFont="1" applyNumberFormat="1">
      <alignment horizontal="left" vertical="center"/>
    </xf>
    <xf borderId="11" fillId="0" fontId="4" numFmtId="0" xfId="0" applyBorder="1" applyFont="1"/>
    <xf borderId="83" fillId="0" fontId="7" numFmtId="0" xfId="0" applyAlignment="1" applyBorder="1" applyFont="1">
      <alignment horizontal="left" vertical="center"/>
    </xf>
    <xf borderId="11" fillId="9" fontId="101" numFmtId="0" xfId="0" applyAlignment="1" applyBorder="1" applyFill="1" applyFont="1">
      <alignment readingOrder="0" shrinkToFit="0" vertical="center" wrapText="0"/>
    </xf>
    <xf borderId="83" fillId="0" fontId="7" numFmtId="0" xfId="0" applyAlignment="1" applyBorder="1" applyFont="1">
      <alignment horizontal="center" vertical="center"/>
    </xf>
    <xf borderId="11" fillId="9" fontId="101" numFmtId="0" xfId="0" applyAlignment="1" applyBorder="1" applyFill="1" applyFont="1">
      <alignment horizontal="center" readingOrder="0" shrinkToFit="0" vertical="center" wrapText="0"/>
    </xf>
    <xf borderId="11" fillId="0" fontId="101" numFmtId="0" xfId="0" applyAlignment="1" applyBorder="1" applyFont="1">
      <alignment horizontal="right" readingOrder="0" vertical="center"/>
    </xf>
    <xf borderId="11" fillId="0" fontId="101" numFmtId="1" xfId="0" applyAlignment="1" applyBorder="1" applyFont="1" applyNumberFormat="1">
      <alignment horizontal="center" readingOrder="0" vertical="center"/>
    </xf>
    <xf borderId="0" fillId="0" fontId="102" numFmtId="0" xfId="0" applyAlignment="1" applyFont="1">
      <alignment vertical="center"/>
    </xf>
    <xf borderId="0" fillId="9" fontId="47" numFmtId="0" xfId="0" applyAlignment="1" applyFill="1" applyFont="1">
      <alignment readingOrder="0" shrinkToFit="0" vertical="center" wrapText="0"/>
    </xf>
    <xf borderId="0" fillId="9" fontId="47" numFmtId="0" xfId="0" applyAlignment="1" applyFill="1" applyFont="1">
      <alignment readingOrder="0" shrinkToFit="0" vertical="center" wrapText="0"/>
    </xf>
    <xf borderId="0" fillId="9" fontId="103" numFmtId="0" xfId="0" applyAlignment="1" applyFill="1" applyFont="1">
      <alignment readingOrder="0" shrinkToFit="0" vertical="center" wrapText="0"/>
    </xf>
    <xf borderId="0" fillId="0" fontId="5" numFmtId="166" xfId="0" applyAlignment="1" applyFont="1" applyNumberFormat="1">
      <alignment readingOrder="0" vertical="center"/>
    </xf>
    <xf borderId="84" fillId="9" fontId="104" numFmtId="0" xfId="0" applyAlignment="1" applyBorder="1" applyFill="1" applyFont="1">
      <alignment horizontal="center" readingOrder="0" shrinkToFit="0" textRotation="0" vertical="center" wrapText="0"/>
    </xf>
    <xf borderId="84" fillId="0" fontId="4" numFmtId="0" xfId="0" applyBorder="1" applyFont="1"/>
    <xf borderId="0" fillId="0" fontId="40" numFmtId="0" xfId="0" applyAlignment="1" applyFont="1">
      <alignment horizontal="left" readingOrder="0" shrinkToFit="0" vertical="center" wrapText="0"/>
    </xf>
    <xf borderId="0" fillId="9" fontId="105" numFmtId="0" xfId="0" applyAlignment="1" applyFill="1" applyFont="1">
      <alignment readingOrder="0" shrinkToFit="0" vertical="center" wrapText="0"/>
    </xf>
    <xf borderId="83" fillId="0" fontId="40" numFmtId="0" xfId="0" applyAlignment="1" applyBorder="1" applyFont="1">
      <alignment horizontal="left" readingOrder="0" vertical="center"/>
    </xf>
    <xf borderId="0" fillId="0" fontId="42" numFmtId="10" xfId="0" applyAlignment="1" applyFont="1" applyNumberFormat="1">
      <alignment readingOrder="0"/>
    </xf>
    <xf borderId="47" fillId="23" fontId="52" numFmtId="0" xfId="0" applyAlignment="1" applyBorder="1" applyFill="1" applyFont="1">
      <alignment horizontal="left" readingOrder="0" vertical="center"/>
    </xf>
    <xf borderId="85" fillId="28" fontId="52" numFmtId="165" xfId="0" applyAlignment="1" applyBorder="1" applyFill="1" applyFont="1" applyNumberFormat="1">
      <alignment horizontal="right" readingOrder="0" shrinkToFit="0" vertical="center" wrapText="0"/>
    </xf>
    <xf borderId="0" fillId="9" fontId="52" numFmtId="10" xfId="0" applyAlignment="1" applyFill="1" applyFont="1" applyNumberFormat="1">
      <alignment horizontal="left" readingOrder="0" shrinkToFit="0" vertical="center" wrapText="0"/>
    </xf>
    <xf borderId="51" fillId="4" fontId="80" numFmtId="0" xfId="0" applyAlignment="1" applyBorder="1" applyFill="1" applyFont="1">
      <alignment horizontal="left" readingOrder="0" shrinkToFit="0" vertical="center" wrapText="0"/>
    </xf>
    <xf borderId="51" fillId="0" fontId="80" numFmtId="0" xfId="0" applyAlignment="1" applyBorder="1" applyFont="1">
      <alignment horizontal="left" readingOrder="0" shrinkToFit="0" vertical="center" wrapText="0"/>
    </xf>
    <xf borderId="45" fillId="23" fontId="52" numFmtId="0" xfId="0" applyAlignment="1" applyBorder="1" applyFill="1" applyFont="1">
      <alignment horizontal="left" readingOrder="0" shrinkToFit="0" vertical="center" wrapText="0"/>
    </xf>
    <xf borderId="85" fillId="28" fontId="106" numFmtId="165" xfId="0" applyAlignment="1" applyBorder="1" applyFill="1" applyFont="1" applyNumberFormat="1">
      <alignment horizontal="right" readingOrder="0" shrinkToFit="0" vertical="center" wrapText="0"/>
    </xf>
    <xf borderId="51" fillId="23" fontId="52" numFmtId="0" xfId="0" applyAlignment="1" applyBorder="1" applyFill="1" applyFont="1">
      <alignment horizontal="left" readingOrder="0" vertical="center"/>
    </xf>
    <xf borderId="45" fillId="0" fontId="4" numFmtId="0" xfId="0" applyBorder="1" applyFont="1"/>
    <xf borderId="47" fillId="29" fontId="80" numFmtId="0" xfId="0" applyAlignment="1" applyBorder="1" applyFill="1" applyFont="1">
      <alignment horizontal="left" readingOrder="0" shrinkToFit="0" vertical="center" wrapText="0"/>
    </xf>
    <xf borderId="46" fillId="23" fontId="52" numFmtId="0" xfId="0" applyAlignment="1" applyBorder="1" applyFill="1" applyFont="1">
      <alignment horizontal="left" readingOrder="0" shrinkToFit="0" vertical="center" wrapText="0"/>
    </xf>
    <xf borderId="86" fillId="28" fontId="52" numFmtId="165" xfId="0" applyAlignment="1" applyBorder="1" applyFill="1" applyFont="1" applyNumberFormat="1">
      <alignment horizontal="right" readingOrder="0" shrinkToFit="0" vertical="center" wrapText="0"/>
    </xf>
    <xf borderId="47" fillId="30" fontId="80" numFmtId="0" xfId="0" applyAlignment="1" applyBorder="1" applyFill="1" applyFont="1">
      <alignment horizontal="left" readingOrder="0" shrinkToFit="0" vertical="center" wrapText="0"/>
    </xf>
    <xf borderId="86" fillId="28" fontId="52" numFmtId="10" xfId="0" applyAlignment="1" applyBorder="1" applyFill="1" applyFont="1" applyNumberFormat="1">
      <alignment horizontal="right" shrinkToFit="0" vertical="center" wrapText="0"/>
    </xf>
    <xf borderId="0" fillId="0" fontId="107" numFmtId="0" xfId="0" applyAlignment="1" applyFont="1">
      <alignment horizontal="center" readingOrder="0" shrinkToFit="0" vertical="center" wrapText="1"/>
    </xf>
    <xf borderId="0" fillId="0" fontId="107" numFmtId="0" xfId="0" applyAlignment="1" applyFont="1">
      <alignment horizontal="left" readingOrder="0" shrinkToFit="0" vertical="center" wrapText="1"/>
    </xf>
    <xf borderId="0" fillId="0" fontId="107" numFmtId="0" xfId="0" applyAlignment="1" applyFont="1">
      <alignment horizontal="left" readingOrder="0" shrinkToFit="0" vertical="center" wrapText="0"/>
    </xf>
    <xf borderId="0" fillId="31" fontId="52" numFmtId="0" xfId="0" applyAlignment="1" applyFill="1" applyFont="1">
      <alignment horizontal="left" readingOrder="0" shrinkToFit="0" vertical="center" wrapText="1"/>
    </xf>
    <xf borderId="0" fillId="31" fontId="52" numFmtId="0" xfId="0" applyAlignment="1" applyFill="1" applyFont="1">
      <alignment horizontal="left" readingOrder="0" shrinkToFit="0" vertical="center" wrapText="0"/>
    </xf>
    <xf borderId="0" fillId="31" fontId="52" numFmtId="0" xfId="0" applyAlignment="1" applyFill="1" applyFont="1">
      <alignment horizontal="center" readingOrder="0" shrinkToFit="0" vertical="center" wrapText="1"/>
    </xf>
    <xf borderId="0" fillId="0" fontId="108" numFmtId="0" xfId="0" applyAlignment="1" applyFont="1">
      <alignment vertical="center"/>
    </xf>
    <xf borderId="11" fillId="10" fontId="37" numFmtId="0" xfId="0" applyAlignment="1" applyBorder="1" applyFill="1" applyFont="1">
      <alignment readingOrder="0" shrinkToFit="0" vertical="center" wrapText="0"/>
    </xf>
    <xf borderId="11" fillId="10" fontId="37" numFmtId="0" xfId="0" applyAlignment="1" applyBorder="1" applyFill="1" applyFont="1">
      <alignment readingOrder="0" shrinkToFit="0" vertical="center" wrapText="0"/>
    </xf>
    <xf borderId="11" fillId="10" fontId="37" numFmtId="0" xfId="0" applyAlignment="1" applyBorder="1" applyFill="1" applyFont="1">
      <alignment readingOrder="0" shrinkToFit="0" vertical="center" wrapText="1"/>
    </xf>
    <xf borderId="11" fillId="10" fontId="37" numFmtId="10" xfId="0" applyAlignment="1" applyBorder="1" applyFill="1" applyFont="1" applyNumberFormat="1">
      <alignment readingOrder="0" shrinkToFit="0" vertical="center" wrapText="1"/>
    </xf>
    <xf borderId="0" fillId="0" fontId="55" numFmtId="0" xfId="0" applyAlignment="1" applyFont="1">
      <alignment readingOrder="0" vertical="center"/>
    </xf>
    <xf borderId="0" fillId="0" fontId="30" numFmtId="0" xfId="0" applyAlignment="1" applyFont="1">
      <alignment readingOrder="0" vertical="center"/>
    </xf>
    <xf borderId="40" fillId="0" fontId="55" numFmtId="49" xfId="0" applyAlignment="1" applyBorder="1" applyFont="1" applyNumberFormat="1">
      <alignment horizontal="left" readingOrder="0" shrinkToFit="0" vertical="center" wrapText="1"/>
    </xf>
    <xf borderId="40" fillId="0" fontId="63" numFmtId="0" xfId="0" applyAlignment="1" applyBorder="1" applyFont="1">
      <alignment readingOrder="0" shrinkToFit="0" vertical="center" wrapText="1"/>
    </xf>
    <xf borderId="40" fillId="0" fontId="109" numFmtId="0" xfId="0" applyAlignment="1" applyBorder="1" applyFont="1">
      <alignment readingOrder="0" shrinkToFit="0" vertical="center" wrapText="0"/>
    </xf>
    <xf borderId="40" fillId="0" fontId="63" numFmtId="165" xfId="0" applyAlignment="1" applyBorder="1" applyFont="1" applyNumberFormat="1">
      <alignment horizontal="left" readingOrder="0" shrinkToFit="0" vertical="center" wrapText="1"/>
    </xf>
    <xf borderId="40" fillId="0" fontId="63" numFmtId="165" xfId="0" applyAlignment="1" applyBorder="1" applyFont="1" applyNumberFormat="1">
      <alignment horizontal="center" readingOrder="0" shrinkToFit="0" vertical="center" wrapText="1"/>
    </xf>
    <xf borderId="40" fillId="0" fontId="63" numFmtId="10" xfId="0" applyAlignment="1" applyBorder="1" applyFont="1" applyNumberFormat="1">
      <alignment horizontal="center" readingOrder="0" shrinkToFit="0" vertical="center" wrapText="1"/>
    </xf>
    <xf borderId="7" fillId="0" fontId="1" numFmtId="49" xfId="0" applyAlignment="1" applyBorder="1" applyFont="1" applyNumberFormat="1">
      <alignment readingOrder="0" shrinkToFit="0" wrapText="1"/>
    </xf>
    <xf borderId="40" fillId="0" fontId="63" numFmtId="165" xfId="0" applyAlignment="1" applyBorder="1" applyFont="1" applyNumberFormat="1">
      <alignment readingOrder="0" shrinkToFit="0" vertical="center" wrapText="1"/>
    </xf>
    <xf borderId="40" fillId="0" fontId="109" numFmtId="165" xfId="0" applyAlignment="1" applyBorder="1" applyFont="1" applyNumberFormat="1">
      <alignment readingOrder="0" shrinkToFit="0" vertical="center" wrapText="0"/>
    </xf>
    <xf borderId="7" fillId="0" fontId="23" numFmtId="165" xfId="0" applyBorder="1" applyFont="1" applyNumberFormat="1"/>
    <xf borderId="0" fillId="9" fontId="8" numFmtId="0" xfId="0" applyAlignment="1" applyFill="1" applyFont="1">
      <alignment vertical="center"/>
    </xf>
    <xf borderId="0" fillId="0" fontId="8" numFmtId="0" xfId="0" applyAlignment="1" applyFont="1">
      <alignment horizontal="center" readingOrder="0" shrinkToFit="0" vertical="center" wrapText="0"/>
    </xf>
    <xf borderId="0" fillId="0" fontId="8" numFmtId="0" xfId="0" applyAlignment="1" applyFont="1">
      <alignment horizontal="center" readingOrder="0" vertical="center"/>
    </xf>
    <xf borderId="0" fillId="0" fontId="110" numFmtId="0" xfId="0" applyAlignment="1" applyFont="1">
      <alignment horizontal="center" readingOrder="0" vertical="center"/>
    </xf>
    <xf borderId="0" fillId="0" fontId="26" numFmtId="0" xfId="0" applyAlignment="1" applyFont="1">
      <alignment horizontal="center" shrinkToFit="0" vertical="center" wrapText="0"/>
    </xf>
    <xf borderId="0" fillId="0" fontId="26" numFmtId="0" xfId="0" applyAlignment="1" applyFont="1">
      <alignment horizontal="center" readingOrder="0" vertical="center"/>
    </xf>
    <xf borderId="0" fillId="4" fontId="1" numFmtId="0" xfId="0" applyAlignment="1" applyFill="1" applyFont="1">
      <alignment horizontal="center" vertical="top"/>
    </xf>
    <xf borderId="0" fillId="4" fontId="1" numFmtId="0" xfId="0" applyAlignment="1" applyFill="1" applyFont="1">
      <alignment horizontal="center" shrinkToFit="0" vertical="top" wrapText="0"/>
    </xf>
    <xf borderId="0" fillId="0" fontId="1" numFmtId="0" xfId="0" applyAlignment="1" applyFont="1">
      <alignment horizontal="center" vertical="top"/>
    </xf>
    <xf borderId="0" fillId="0" fontId="1" numFmtId="0" xfId="0" applyAlignment="1" applyFont="1">
      <alignment horizontal="center" shrinkToFit="0" vertical="top" wrapText="0"/>
    </xf>
    <xf borderId="0" fillId="0" fontId="1" numFmtId="0" xfId="0" applyAlignment="1" applyFont="1">
      <alignment horizontal="center" readingOrder="0" vertical="top"/>
    </xf>
    <xf borderId="0" fillId="0" fontId="7" numFmtId="173" xfId="0" applyAlignment="1" applyFont="1" applyNumberFormat="1">
      <alignment vertical="center"/>
    </xf>
    <xf borderId="51" fillId="0" fontId="80" numFmtId="0" xfId="0" applyAlignment="1" applyBorder="1" applyFont="1">
      <alignment horizontal="left" readingOrder="0" vertical="center"/>
    </xf>
    <xf borderId="6" fillId="32" fontId="111" numFmtId="0" xfId="0" applyAlignment="1" applyBorder="1" applyFill="1" applyFont="1">
      <alignment horizontal="left" readingOrder="0" vertical="center"/>
    </xf>
    <xf borderId="9" fillId="33" fontId="112" numFmtId="0" xfId="0" applyAlignment="1" applyBorder="1" applyFill="1" applyFont="1">
      <alignment horizontal="left" readingOrder="0" vertical="center"/>
    </xf>
  </cellXfs>
  <cellStyles count="1">
    <cellStyle xfId="0" name="Normal" builtinId="0"/>
  </cellStyles>
  <dxfs count="28">
    <dxf>
      <font/>
      <fill>
        <patternFill patternType="none"/>
      </fill>
      <border/>
    </dxf>
    <dxf>
      <font/>
      <fill>
        <patternFill patternType="solid">
          <fgColor rgb="FFFF9E9E"/>
          <bgColor rgb="FFFF9E9E"/>
        </patternFill>
      </fill>
      <border/>
    </dxf>
    <dxf>
      <font>
        <u/>
        <color rgb="FFD14D72"/>
      </font>
      <fill>
        <patternFill patternType="none"/>
      </fill>
      <border/>
    </dxf>
    <dxf>
      <font>
        <color rgb="FFD14D72"/>
      </font>
      <fill>
        <patternFill patternType="none"/>
      </fill>
      <border/>
    </dxf>
    <dxf>
      <font>
        <b/>
        <color rgb="FFD14D72"/>
      </font>
      <fill>
        <patternFill patternType="none"/>
      </fill>
      <border/>
    </dxf>
    <dxf>
      <font>
        <b/>
        <color rgb="FFFFFFFF"/>
      </font>
      <fill>
        <patternFill patternType="solid">
          <fgColor rgb="FF0070BA"/>
          <bgColor rgb="FF0070BA"/>
        </patternFill>
      </fill>
      <border/>
    </dxf>
    <dxf>
      <font>
        <b/>
        <color rgb="FFFFFFFF"/>
      </font>
      <fill>
        <patternFill patternType="solid">
          <fgColor rgb="FF33CDCF"/>
          <bgColor rgb="FF33CDCF"/>
        </patternFill>
      </fill>
      <border/>
    </dxf>
    <dxf>
      <font>
        <b/>
        <color rgb="FFFFFFFF"/>
      </font>
      <fill>
        <patternFill patternType="solid">
          <fgColor rgb="FFC706D0"/>
          <bgColor rgb="FFC706D0"/>
        </patternFill>
      </fill>
      <border/>
    </dxf>
    <dxf>
      <font>
        <b/>
        <color rgb="FFFFFFFF"/>
      </font>
      <fill>
        <patternFill patternType="solid">
          <fgColor rgb="FFE55300"/>
          <bgColor rgb="FFE55300"/>
        </patternFill>
      </fill>
      <border/>
    </dxf>
    <dxf>
      <font>
        <b/>
        <color rgb="FFFFFFFF"/>
      </font>
      <fill>
        <patternFill patternType="solid">
          <fgColor rgb="FFFEB600"/>
          <bgColor rgb="FFFEB600"/>
        </patternFill>
      </fill>
      <border/>
    </dxf>
    <dxf>
      <font>
        <b/>
        <color rgb="FFFFFFFF"/>
      </font>
      <fill>
        <patternFill patternType="solid">
          <fgColor rgb="FF014A94"/>
          <bgColor rgb="FF014A94"/>
        </patternFill>
      </fill>
      <border/>
    </dxf>
    <dxf>
      <font>
        <strike/>
        <color rgb="FF999999"/>
      </font>
      <fill>
        <patternFill patternType="solid">
          <fgColor rgb="FFEFEFEF"/>
          <bgColor rgb="FFEFEFEF"/>
        </patternFill>
      </fill>
      <border/>
    </dxf>
    <dxf>
      <font/>
      <fill>
        <patternFill patternType="solid">
          <fgColor rgb="FFB7E1CD"/>
          <bgColor rgb="FFB7E1CD"/>
        </patternFill>
      </fill>
      <border/>
    </dxf>
    <dxf>
      <font/>
      <fill>
        <patternFill patternType="solid">
          <fgColor rgb="FFFFF2CC"/>
          <bgColor rgb="FFFFF2CC"/>
        </patternFill>
      </fill>
      <border/>
    </dxf>
    <dxf>
      <font/>
      <fill>
        <patternFill patternType="solid">
          <fgColor rgb="FFF4CCCC"/>
          <bgColor rgb="FFF4CCCC"/>
        </patternFill>
      </fill>
      <border/>
    </dxf>
    <dxf>
      <font>
        <b/>
        <color rgb="FF34A853"/>
      </font>
      <fill>
        <patternFill patternType="solid">
          <fgColor rgb="FFEFEFEF"/>
          <bgColor rgb="FFEFEFEF"/>
        </patternFill>
      </fill>
      <border/>
    </dxf>
    <dxf>
      <font>
        <strike/>
        <color rgb="FF000000"/>
      </font>
      <fill>
        <patternFill patternType="solid">
          <fgColor rgb="FFEFEFEF"/>
          <bgColor rgb="FFEFEFEF"/>
        </patternFill>
      </fill>
      <border/>
    </dxf>
    <dxf>
      <font/>
      <fill>
        <patternFill patternType="solid">
          <fgColor rgb="FFAEDBCE"/>
          <bgColor rgb="FFAEDBCE"/>
        </patternFill>
      </fill>
      <border/>
    </dxf>
    <dxf>
      <font/>
      <fill>
        <patternFill patternType="solid">
          <fgColor rgb="FFF5E9CF"/>
          <bgColor rgb="FFF5E9CF"/>
        </patternFill>
      </fill>
      <border/>
    </dxf>
    <dxf>
      <font/>
      <fill>
        <patternFill patternType="solid">
          <fgColor rgb="FFFFACAC"/>
          <bgColor rgb="FFFFACAC"/>
        </patternFill>
      </fill>
      <border/>
    </dxf>
    <dxf>
      <font>
        <b/>
        <color rgb="FF33CDCF"/>
      </font>
      <fill>
        <patternFill patternType="none"/>
      </fill>
      <border/>
    </dxf>
    <dxf>
      <font>
        <b/>
        <color rgb="FFC706D0"/>
      </font>
      <fill>
        <patternFill patternType="none"/>
      </fill>
      <border/>
    </dxf>
    <dxf>
      <font>
        <b/>
        <color rgb="FF0066AE"/>
      </font>
      <fill>
        <patternFill patternType="none"/>
      </fill>
      <border/>
    </dxf>
    <dxf>
      <font>
        <b/>
        <color rgb="FFF46524"/>
      </font>
      <fill>
        <patternFill patternType="none"/>
      </fill>
      <border/>
    </dxf>
    <dxf>
      <font>
        <b/>
        <color rgb="FF0070BA"/>
      </font>
      <fill>
        <patternFill patternType="none"/>
      </fill>
      <border/>
    </dxf>
    <dxf>
      <font>
        <b/>
        <color rgb="FFFEB600"/>
      </font>
      <fill>
        <patternFill patternType="none"/>
      </fill>
      <border/>
    </dxf>
    <dxf>
      <font>
        <color rgb="FFBDCDD6"/>
      </font>
      <fill>
        <patternFill patternType="none"/>
      </fill>
      <border/>
    </dxf>
    <dxf>
      <font>
        <color rgb="FFFFFFF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dPt>
            <c:idx val="0"/>
            <c:spPr>
              <a:solidFill>
                <a:srgbClr val="4285F4"/>
              </a:solidFill>
            </c:spPr>
          </c:dPt>
          <c:dPt>
            <c:idx val="1"/>
            <c:spPr>
              <a:solidFill>
                <a:srgbClr val="C499BA"/>
              </a:solidFill>
            </c:spPr>
          </c:dPt>
          <c:dPt>
            <c:idx val="2"/>
            <c:spPr>
              <a:solidFill>
                <a:srgbClr val="FBBC04"/>
              </a:solidFill>
            </c:spPr>
          </c:dPt>
          <c:dPt>
            <c:idx val="3"/>
            <c:spPr>
              <a:solidFill>
                <a:srgbClr val="00B88C"/>
              </a:solidFill>
            </c:spPr>
          </c:dPt>
          <c:dPt>
            <c:idx val="4"/>
            <c:spPr>
              <a:solidFill>
                <a:srgbClr val="E96479"/>
              </a:solidFill>
            </c:spPr>
          </c:dPt>
          <c:dPt>
            <c:idx val="5"/>
            <c:spPr>
              <a:solidFill>
                <a:srgbClr val="BDCDD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FFACAC"/>
              </a:solidFill>
            </c:spPr>
          </c:dPt>
          <c:dPt>
            <c:idx val="12"/>
            <c:spPr>
              <a:solidFill>
                <a:srgbClr val="7DB9B6"/>
              </a:solidFill>
            </c:spPr>
          </c:dPt>
          <c:dPt>
            <c:idx val="13"/>
            <c:spPr>
              <a:solidFill>
                <a:srgbClr val="E8D5C4"/>
              </a:solidFill>
            </c:spPr>
          </c:dPt>
          <c:dPt>
            <c:idx val="14"/>
            <c:spPr>
              <a:solidFill>
                <a:srgbClr val="FDE49B"/>
              </a:solidFill>
            </c:spPr>
          </c:dPt>
          <c:dPt>
            <c:idx val="15"/>
            <c:spPr>
              <a:solidFill>
                <a:srgbClr val="AEDCBA"/>
              </a:solidFill>
            </c:spPr>
          </c:dPt>
          <c:dLbls>
            <c:showLegendKey val="0"/>
            <c:showVal val="0"/>
            <c:showCatName val="0"/>
            <c:showSerName val="0"/>
            <c:showPercent val="0"/>
            <c:showBubbleSize val="0"/>
            <c:showLeaderLines val="1"/>
          </c:dLbls>
          <c:cat>
            <c:strRef>
              <c:f>Report!$B$11:$B$26</c:f>
            </c:strRef>
          </c:cat>
          <c:val>
            <c:numRef>
              <c:f>Report!$F$11:$F$26</c:f>
              <c:numCache/>
            </c:numRef>
          </c:val>
        </c:ser>
        <c:dLbls>
          <c:showLegendKey val="0"/>
          <c:showVal val="0"/>
          <c:showCatName val="0"/>
          <c:showSerName val="0"/>
          <c:showPercent val="0"/>
          <c:showBubbleSize val="0"/>
        </c:dLbls>
      </c:pie3DChart>
    </c:plotArea>
    <c:legend>
      <c:legendPos val="r"/>
      <c:overlay val="0"/>
      <c:txPr>
        <a:bodyPr/>
        <a:lstStyle/>
        <a:p>
          <a:pPr lvl="0">
            <a:defRPr b="0" sz="1100">
              <a:solidFill>
                <a:srgbClr val="1A1A1A"/>
              </a:solidFill>
              <a:latin typeface="Tahoma"/>
            </a:defRPr>
          </a:pPr>
        </a:p>
      </c:txPr>
    </c:legend>
    <c:plotVisOnly val="0"/>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varyColors val="0"/>
        <c:ser>
          <c:idx val="0"/>
          <c:order val="0"/>
          <c:spPr>
            <a:solidFill>
              <a:srgbClr val="FF9E9E"/>
            </a:solidFill>
            <a:ln cmpd="sng">
              <a:noFill/>
            </a:ln>
          </c:spPr>
          <c:invertIfNegative val="0"/>
          <c:cat>
            <c:strRef>
              <c:f>Snapshot!$C$2:$N$2</c:f>
            </c:strRef>
          </c:cat>
          <c:val>
            <c:numRef>
              <c:f>Snapshot!$C$34:$N$34</c:f>
              <c:numCache/>
            </c:numRef>
          </c:val>
        </c:ser>
        <c:axId val="897199216"/>
        <c:axId val="432908718"/>
      </c:barChart>
      <c:catAx>
        <c:axId val="8971992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Tahoma"/>
              </a:defRPr>
            </a:pPr>
          </a:p>
        </c:txPr>
        <c:crossAx val="432908718"/>
      </c:catAx>
      <c:valAx>
        <c:axId val="4329087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Tahoma"/>
              </a:defRPr>
            </a:pPr>
          </a:p>
        </c:txPr>
        <c:crossAx val="89719921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varyColors val="0"/>
        <c:ser>
          <c:idx val="0"/>
          <c:order val="0"/>
          <c:spPr>
            <a:solidFill>
              <a:schemeClr val="accent1"/>
            </a:solidFill>
            <a:ln cmpd="sng">
              <a:noFill/>
            </a:ln>
          </c:spPr>
          <c:invertIfNegative val="0"/>
          <c:dPt>
            <c:idx val="0"/>
            <c:spPr>
              <a:solidFill>
                <a:srgbClr val="33CDCF"/>
              </a:solidFill>
              <a:ln cmpd="sng">
                <a:noFill/>
              </a:ln>
            </c:spPr>
          </c:dPt>
          <c:dPt>
            <c:idx val="1"/>
            <c:spPr>
              <a:solidFill>
                <a:srgbClr val="C706D0"/>
              </a:solidFill>
              <a:ln cmpd="sng">
                <a:noFill/>
              </a:ln>
            </c:spPr>
          </c:dPt>
          <c:dPt>
            <c:idx val="2"/>
            <c:spPr>
              <a:solidFill>
                <a:srgbClr val="0066AE"/>
              </a:solidFill>
              <a:ln cmpd="sng">
                <a:noFill/>
              </a:ln>
            </c:spPr>
          </c:dPt>
          <c:cat>
            <c:strRef>
              <c:f>Summary!$B$6:$B$8</c:f>
            </c:strRef>
          </c:cat>
          <c:val>
            <c:numRef>
              <c:f>Summary!$D$6:$D$8</c:f>
              <c:numCache/>
            </c:numRef>
          </c:val>
        </c:ser>
        <c:overlap val="100"/>
        <c:axId val="424897016"/>
        <c:axId val="1240063723"/>
      </c:barChart>
      <c:catAx>
        <c:axId val="42489701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40063723"/>
      </c:catAx>
      <c:valAx>
        <c:axId val="1240063723"/>
        <c:scaling>
          <c:orientation val="minMax"/>
        </c:scaling>
        <c:delete val="0"/>
        <c:axPos val="b"/>
        <c:majorGridlines>
          <c:spPr>
            <a:ln>
              <a:solidFill>
                <a:srgbClr val="EBEDEF"/>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sans-serif"/>
              </a:defRPr>
            </a:pPr>
          </a:p>
        </c:txPr>
        <c:crossAx val="424897016"/>
        <c:crosses val="max"/>
      </c:valAx>
    </c:plotArea>
    <c:legend>
      <c:legendPos val="r"/>
      <c:overlay val="0"/>
      <c:txPr>
        <a:bodyPr/>
        <a:lstStyle/>
        <a:p>
          <a:pPr lvl="0">
            <a:defRPr b="0">
              <a:solidFill>
                <a:srgbClr val="1A1A1A"/>
              </a:solidFill>
              <a:latin typeface="+mn-lt"/>
            </a:defRPr>
          </a:pPr>
        </a:p>
      </c:txPr>
    </c:legend>
    <c:plotVisOnly val="0"/>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varyColors val="0"/>
        <c:ser>
          <c:idx val="0"/>
          <c:order val="0"/>
          <c:tx>
            <c:strRef>
              <c:f>Assets!$C$32</c:f>
            </c:strRef>
          </c:tx>
          <c:spPr>
            <a:solidFill>
              <a:srgbClr val="FDD36A"/>
            </a:solidFill>
            <a:ln cmpd="sng">
              <a:noFill/>
            </a:ln>
          </c:spPr>
          <c:invertIfNegative val="0"/>
          <c:dPt>
            <c:idx val="0"/>
          </c:dPt>
          <c:cat>
            <c:strRef>
              <c:f>Assets!$B$33:$B$44</c:f>
            </c:strRef>
          </c:cat>
          <c:val>
            <c:numRef>
              <c:f>Assets!$C$33:$C$44</c:f>
              <c:numCache/>
            </c:numRef>
          </c:val>
        </c:ser>
        <c:axId val="1001073949"/>
        <c:axId val="1021995665"/>
      </c:barChart>
      <c:lineChart>
        <c:ser>
          <c:idx val="1"/>
          <c:order val="1"/>
          <c:tx>
            <c:strRef>
              <c:f>Assets!$D$32</c:f>
            </c:strRef>
          </c:tx>
          <c:spPr>
            <a:ln cmpd="sng" w="28575">
              <a:solidFill>
                <a:srgbClr val="00B88C">
                  <a:alpha val="100000"/>
                </a:srgbClr>
              </a:solidFill>
            </a:ln>
          </c:spPr>
          <c:marker>
            <c:symbol val="circle"/>
            <c:size val="4"/>
            <c:spPr>
              <a:solidFill>
                <a:srgbClr val="00B88C">
                  <a:alpha val="100000"/>
                </a:srgbClr>
              </a:solidFill>
              <a:ln cmpd="sng">
                <a:solidFill>
                  <a:srgbClr val="00B88C">
                    <a:alpha val="100000"/>
                  </a:srgbClr>
                </a:solidFill>
              </a:ln>
            </c:spPr>
          </c:marker>
          <c:cat>
            <c:strRef>
              <c:f>Assets!$B$33:$B$44</c:f>
            </c:strRef>
          </c:cat>
          <c:val>
            <c:numRef>
              <c:f>Assets!$D$33:$D$44</c:f>
              <c:numCache/>
            </c:numRef>
          </c:val>
          <c:smooth val="1"/>
        </c:ser>
        <c:ser>
          <c:idx val="2"/>
          <c:order val="2"/>
          <c:tx>
            <c:strRef>
              <c:f>Assets!$E$32</c:f>
            </c:strRef>
          </c:tx>
          <c:spPr>
            <a:ln cmpd="sng" w="28575">
              <a:solidFill>
                <a:srgbClr val="E96479">
                  <a:alpha val="100000"/>
                </a:srgbClr>
              </a:solidFill>
            </a:ln>
          </c:spPr>
          <c:marker>
            <c:symbol val="circle"/>
            <c:size val="4"/>
            <c:spPr>
              <a:solidFill>
                <a:srgbClr val="E96479">
                  <a:alpha val="100000"/>
                </a:srgbClr>
              </a:solidFill>
              <a:ln cmpd="sng">
                <a:solidFill>
                  <a:srgbClr val="E96479">
                    <a:alpha val="100000"/>
                  </a:srgbClr>
                </a:solidFill>
              </a:ln>
            </c:spPr>
          </c:marker>
          <c:cat>
            <c:strRef>
              <c:f>Assets!$B$33:$B$44</c:f>
            </c:strRef>
          </c:cat>
          <c:val>
            <c:numRef>
              <c:f>Assets!$E$33:$E$44</c:f>
              <c:numCache/>
            </c:numRef>
          </c:val>
          <c:smooth val="1"/>
        </c:ser>
        <c:axId val="1001073949"/>
        <c:axId val="1021995665"/>
      </c:lineChart>
      <c:catAx>
        <c:axId val="10010739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21995665"/>
      </c:catAx>
      <c:valAx>
        <c:axId val="10219956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01073949"/>
      </c:valAx>
    </c:plotArea>
    <c:legend>
      <c:legendPos val="r"/>
      <c:legendEntry>
        <c:idx val="0"/>
        <c:txPr>
          <a:bodyPr/>
          <a:lstStyle/>
          <a:p>
            <a:pPr lvl="0">
              <a:defRPr b="1"/>
            </a:pPr>
          </a:p>
        </c:txPr>
      </c:legendEntry>
      <c:legendEntry>
        <c:idx val="1"/>
        <c:txPr>
          <a:bodyPr/>
          <a:lstStyle/>
          <a:p>
            <a:pPr lvl="0">
              <a:defRPr b="1"/>
            </a:pPr>
          </a:p>
        </c:txPr>
      </c:legendEntry>
      <c:overlay val="0"/>
      <c:txPr>
        <a:bodyPr/>
        <a:lstStyle/>
        <a:p>
          <a:pPr lvl="0">
            <a:defRPr b="1">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Chart2.png"/><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34</xdr:row>
      <xdr:rowOff>47625</xdr:rowOff>
    </xdr:from>
    <xdr:ext cx="4305300" cy="29718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0</xdr:colOff>
      <xdr:row>34</xdr:row>
      <xdr:rowOff>0</xdr:rowOff>
    </xdr:from>
    <xdr:ext cx="4305300" cy="2971800"/>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28575</xdr:colOff>
      <xdr:row>39</xdr:row>
      <xdr:rowOff>9525</xdr:rowOff>
    </xdr:from>
    <xdr:ext cx="4572000" cy="2628900"/>
    <xdr:pic>
      <xdr:nvPicPr>
        <xdr:cNvPr id="1957755143" name="Chart2"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38100</xdr:colOff>
      <xdr:row>38</xdr:row>
      <xdr:rowOff>38100</xdr:rowOff>
    </xdr:from>
    <xdr:ext cx="4572000" cy="2628900"/>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28575</xdr:colOff>
      <xdr:row>31</xdr:row>
      <xdr:rowOff>66675</xdr:rowOff>
    </xdr:from>
    <xdr:ext cx="4343400" cy="313372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gCG1szBQH5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8.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14D72"/>
    <outlinePr summaryBelow="0" summaryRight="0"/>
  </sheetPr>
  <sheetViews>
    <sheetView showGridLines="0" workbookViewId="0"/>
  </sheetViews>
  <sheetFormatPr customHeight="1" defaultColWidth="12.63" defaultRowHeight="15.75"/>
  <cols>
    <col customWidth="1" min="1" max="1" width="2.0"/>
    <col customWidth="1" min="8" max="8" width="2.0"/>
    <col customWidth="1" min="9" max="11" width="10.75"/>
    <col customWidth="1" min="12" max="12" width="12.75"/>
    <col customWidth="1" min="13" max="13" width="2.0"/>
  </cols>
  <sheetData>
    <row r="1" ht="11.25" customHeight="1">
      <c r="A1" s="1"/>
      <c r="B1" s="1"/>
      <c r="C1" s="1"/>
      <c r="D1" s="1"/>
      <c r="E1" s="1"/>
      <c r="F1" s="1"/>
      <c r="G1" s="1"/>
      <c r="H1" s="1"/>
      <c r="I1" s="1"/>
      <c r="J1" s="1"/>
      <c r="K1" s="1"/>
      <c r="L1" s="1"/>
      <c r="M1" s="1"/>
    </row>
    <row r="2" ht="32.25" customHeight="1">
      <c r="A2" s="1"/>
      <c r="B2" s="2" t="s">
        <v>0</v>
      </c>
      <c r="H2" s="1"/>
      <c r="I2" s="3" t="s">
        <v>1</v>
      </c>
      <c r="M2" s="1"/>
    </row>
    <row r="3">
      <c r="A3" s="1"/>
      <c r="B3" s="5"/>
      <c r="H3" s="1"/>
      <c r="M3" s="1"/>
    </row>
    <row r="4">
      <c r="A4" s="1"/>
      <c r="B4" s="7"/>
      <c r="C4" s="8"/>
      <c r="D4" s="8"/>
      <c r="E4" s="8"/>
      <c r="F4" s="8"/>
      <c r="G4" s="8"/>
      <c r="H4" s="1"/>
      <c r="M4" s="1"/>
    </row>
    <row r="5">
      <c r="A5" s="1"/>
      <c r="B5" s="11" t="s">
        <v>2</v>
      </c>
      <c r="C5" s="13"/>
      <c r="D5" s="13"/>
      <c r="E5" s="13"/>
      <c r="F5" s="13"/>
      <c r="G5" s="13"/>
      <c r="H5" s="1"/>
      <c r="M5" s="1"/>
    </row>
    <row r="6" ht="15.0" customHeight="1">
      <c r="A6" s="1"/>
      <c r="B6" s="14"/>
      <c r="C6" s="14"/>
      <c r="D6" s="14"/>
      <c r="E6" s="14"/>
      <c r="F6" s="14"/>
      <c r="G6" s="14"/>
      <c r="H6" s="1"/>
      <c r="M6" s="1"/>
    </row>
    <row r="7">
      <c r="A7" s="1"/>
      <c r="B7" s="15" t="s">
        <v>4</v>
      </c>
      <c r="C7" s="16"/>
      <c r="D7" s="16"/>
      <c r="E7" s="16"/>
      <c r="F7" s="16"/>
      <c r="G7" s="16"/>
      <c r="H7" s="1"/>
      <c r="I7" s="3" t="s">
        <v>5</v>
      </c>
      <c r="M7" s="1"/>
    </row>
    <row r="8" ht="36.75" customHeight="1">
      <c r="A8" s="1"/>
      <c r="B8" s="17" t="s">
        <v>6</v>
      </c>
      <c r="H8" s="1"/>
      <c r="M8" s="1"/>
    </row>
    <row r="9" ht="36.75" customHeight="1">
      <c r="A9" s="1"/>
      <c r="H9" s="1"/>
      <c r="M9" s="1"/>
    </row>
    <row r="10" ht="36.75" customHeight="1">
      <c r="A10" s="1"/>
      <c r="B10" s="8"/>
      <c r="C10" s="8"/>
      <c r="D10" s="8"/>
      <c r="E10" s="8"/>
      <c r="F10" s="8"/>
      <c r="G10" s="8"/>
      <c r="H10" s="1"/>
      <c r="M10" s="1"/>
    </row>
    <row r="11" ht="15.0" customHeight="1">
      <c r="A11" s="1"/>
      <c r="B11" s="19"/>
      <c r="C11" s="19"/>
      <c r="D11" s="19"/>
      <c r="E11" s="19"/>
      <c r="F11" s="19"/>
      <c r="G11" s="19"/>
      <c r="H11" s="1"/>
      <c r="I11" s="3" t="s">
        <v>7</v>
      </c>
      <c r="M11" s="1"/>
    </row>
    <row r="12">
      <c r="A12" s="1"/>
      <c r="B12" s="20" t="s">
        <v>8</v>
      </c>
      <c r="C12" s="21" t="s">
        <v>9</v>
      </c>
      <c r="F12" s="22"/>
      <c r="G12" s="22"/>
      <c r="H12" s="1"/>
      <c r="M12" s="1"/>
    </row>
    <row r="13">
      <c r="A13" s="1"/>
      <c r="B13" s="23" t="s">
        <v>10</v>
      </c>
      <c r="C13" s="8"/>
      <c r="D13" s="8"/>
      <c r="E13" s="8"/>
      <c r="F13" s="8"/>
      <c r="G13" s="8"/>
      <c r="H13" s="1"/>
      <c r="M13" s="1"/>
    </row>
    <row r="14">
      <c r="A14" s="1"/>
      <c r="B14" s="24" t="s">
        <v>11</v>
      </c>
      <c r="C14" s="13"/>
      <c r="D14" s="13"/>
      <c r="E14" s="13"/>
      <c r="F14" s="13"/>
      <c r="G14" s="13"/>
      <c r="H14" s="1"/>
      <c r="M14" s="1"/>
    </row>
    <row r="15">
      <c r="A15" s="1"/>
      <c r="B15" s="27" t="s">
        <v>12</v>
      </c>
      <c r="C15" s="13"/>
      <c r="D15" s="13"/>
      <c r="E15" s="13"/>
      <c r="F15" s="13"/>
      <c r="G15" s="13"/>
      <c r="H15" s="1"/>
      <c r="I15" s="30" t="s">
        <v>14</v>
      </c>
      <c r="J15" s="30" t="s">
        <v>14</v>
      </c>
      <c r="K15" s="30" t="s">
        <v>14</v>
      </c>
      <c r="L15" s="30" t="s">
        <v>14</v>
      </c>
      <c r="M15" s="1"/>
    </row>
    <row r="16">
      <c r="A16" s="1"/>
      <c r="B16" s="27" t="s">
        <v>15</v>
      </c>
      <c r="C16" s="13"/>
      <c r="D16" s="13"/>
      <c r="E16" s="13"/>
      <c r="F16" s="13"/>
      <c r="G16" s="13"/>
      <c r="H16" s="1"/>
      <c r="M16" s="1"/>
    </row>
    <row r="17">
      <c r="A17" s="1"/>
      <c r="B17" s="27" t="s">
        <v>16</v>
      </c>
      <c r="C17" s="13"/>
      <c r="D17" s="13"/>
      <c r="E17" s="13"/>
      <c r="F17" s="13"/>
      <c r="G17" s="13"/>
      <c r="H17" s="1"/>
      <c r="I17" s="34"/>
      <c r="J17" s="34"/>
      <c r="K17" s="34"/>
      <c r="L17" s="34"/>
      <c r="M17" s="1"/>
    </row>
    <row r="18">
      <c r="A18" s="36"/>
      <c r="B18" s="37" t="s">
        <v>17</v>
      </c>
      <c r="C18" s="13"/>
      <c r="D18" s="13"/>
      <c r="E18" s="13"/>
      <c r="F18" s="13"/>
      <c r="G18" s="13"/>
      <c r="H18" s="36"/>
      <c r="I18" s="39"/>
      <c r="J18" s="39"/>
      <c r="K18" s="39"/>
      <c r="L18" s="39"/>
      <c r="M18" s="36"/>
    </row>
    <row r="19" ht="39.75" customHeight="1">
      <c r="A19" s="36"/>
      <c r="B19" s="40" t="s">
        <v>18</v>
      </c>
      <c r="C19" s="13"/>
      <c r="D19" s="13"/>
      <c r="E19" s="13"/>
      <c r="F19" s="13"/>
      <c r="G19" s="13"/>
      <c r="H19" s="36"/>
      <c r="I19" s="39"/>
      <c r="J19" s="39"/>
      <c r="K19" s="39"/>
      <c r="L19" s="39"/>
      <c r="M19" s="36"/>
    </row>
    <row r="20" ht="15.0" customHeight="1">
      <c r="A20" s="1"/>
      <c r="B20" s="41"/>
      <c r="C20" s="41"/>
      <c r="D20" s="41"/>
      <c r="E20" s="41"/>
      <c r="F20" s="41"/>
      <c r="G20" s="41"/>
      <c r="H20" s="1"/>
      <c r="I20" s="34"/>
      <c r="J20" s="34"/>
      <c r="K20" s="34"/>
      <c r="L20" s="34"/>
      <c r="M20" s="1"/>
    </row>
    <row r="21">
      <c r="A21" s="1"/>
      <c r="B21" s="42" t="s">
        <v>19</v>
      </c>
      <c r="C21" s="13"/>
      <c r="D21" s="13"/>
      <c r="E21" s="13"/>
      <c r="F21" s="13"/>
      <c r="G21" s="13"/>
      <c r="H21" s="1"/>
      <c r="I21" s="34"/>
      <c r="J21" s="34"/>
      <c r="K21" s="34"/>
      <c r="L21" s="34"/>
      <c r="M21" s="1"/>
    </row>
    <row r="22" ht="37.5" customHeight="1">
      <c r="A22" s="43"/>
      <c r="B22" s="44" t="s">
        <v>20</v>
      </c>
      <c r="C22" s="13"/>
      <c r="D22" s="13"/>
      <c r="E22" s="13"/>
      <c r="F22" s="13"/>
      <c r="G22" s="13"/>
      <c r="H22" s="43"/>
      <c r="I22" s="45"/>
      <c r="J22" s="45"/>
      <c r="K22" s="45"/>
      <c r="L22" s="45"/>
      <c r="M22" s="43"/>
    </row>
    <row r="23" ht="37.5" customHeight="1">
      <c r="A23" s="1"/>
      <c r="B23" s="47" t="s">
        <v>21</v>
      </c>
      <c r="C23" s="13"/>
      <c r="D23" s="13"/>
      <c r="E23" s="13"/>
      <c r="F23" s="13"/>
      <c r="G23" s="13"/>
      <c r="H23" s="1"/>
      <c r="I23" s="34"/>
      <c r="J23" s="34"/>
      <c r="K23" s="34"/>
      <c r="L23" s="34"/>
      <c r="M23" s="1"/>
    </row>
    <row r="24" ht="37.5" customHeight="1">
      <c r="A24" s="43"/>
      <c r="B24" s="47" t="s">
        <v>23</v>
      </c>
      <c r="C24" s="13"/>
      <c r="D24" s="13"/>
      <c r="E24" s="13"/>
      <c r="F24" s="13"/>
      <c r="G24" s="13"/>
      <c r="H24" s="43"/>
      <c r="I24" s="45"/>
      <c r="J24" s="45"/>
      <c r="K24" s="45"/>
      <c r="L24" s="45"/>
      <c r="M24" s="43"/>
    </row>
    <row r="25" ht="37.5" customHeight="1">
      <c r="A25" s="43"/>
      <c r="B25" s="49" t="s">
        <v>24</v>
      </c>
      <c r="C25" s="13"/>
      <c r="D25" s="13"/>
      <c r="E25" s="13"/>
      <c r="F25" s="13"/>
      <c r="G25" s="13"/>
      <c r="H25" s="43"/>
      <c r="I25" s="45"/>
      <c r="J25" s="45"/>
      <c r="K25" s="45"/>
      <c r="L25" s="45"/>
      <c r="M25" s="43"/>
    </row>
    <row r="26" ht="15.0" customHeight="1">
      <c r="A26" s="1"/>
      <c r="B26" s="51"/>
      <c r="C26" s="51"/>
      <c r="D26" s="51"/>
      <c r="E26" s="51"/>
      <c r="F26" s="51"/>
      <c r="G26" s="51"/>
      <c r="H26" s="1"/>
      <c r="I26" s="34"/>
      <c r="J26" s="34"/>
      <c r="K26" s="34"/>
      <c r="L26" s="34"/>
      <c r="M26" s="1"/>
    </row>
    <row r="27" ht="52.5" customHeight="1">
      <c r="A27" s="43"/>
      <c r="B27" s="52" t="s">
        <v>25</v>
      </c>
      <c r="C27" s="8"/>
      <c r="D27" s="8"/>
      <c r="E27" s="8"/>
      <c r="F27" s="8"/>
      <c r="G27" s="8"/>
      <c r="H27" s="43"/>
      <c r="I27" s="45"/>
      <c r="J27" s="45"/>
      <c r="K27" s="45"/>
      <c r="L27" s="45"/>
      <c r="M27" s="43"/>
    </row>
    <row r="28" ht="15.0" customHeight="1">
      <c r="A28" s="1"/>
      <c r="B28" s="53"/>
      <c r="C28" s="53"/>
      <c r="D28" s="53"/>
      <c r="E28" s="53"/>
      <c r="F28" s="53"/>
      <c r="G28" s="53"/>
      <c r="H28" s="1"/>
      <c r="I28" s="34"/>
      <c r="J28" s="34"/>
      <c r="K28" s="34"/>
      <c r="L28" s="34"/>
      <c r="M28" s="1"/>
    </row>
    <row r="29" ht="15.0" customHeight="1">
      <c r="A29" s="54"/>
      <c r="B29" s="55" t="s">
        <v>26</v>
      </c>
      <c r="H29" s="56"/>
      <c r="I29" s="57"/>
      <c r="J29" s="57"/>
      <c r="K29" s="57"/>
      <c r="L29" s="57"/>
      <c r="M29" s="54"/>
    </row>
  </sheetData>
  <mergeCells count="27">
    <mergeCell ref="B8:G10"/>
    <mergeCell ref="C12:E12"/>
    <mergeCell ref="B2:G2"/>
    <mergeCell ref="I2:L6"/>
    <mergeCell ref="B3:G3"/>
    <mergeCell ref="B4:G4"/>
    <mergeCell ref="B5:G5"/>
    <mergeCell ref="I7:L10"/>
    <mergeCell ref="I11:L14"/>
    <mergeCell ref="B13:G13"/>
    <mergeCell ref="B14:G14"/>
    <mergeCell ref="B15:G15"/>
    <mergeCell ref="I15:I16"/>
    <mergeCell ref="J15:J16"/>
    <mergeCell ref="K15:K16"/>
    <mergeCell ref="L15:L16"/>
    <mergeCell ref="B24:G24"/>
    <mergeCell ref="B25:G25"/>
    <mergeCell ref="B27:G27"/>
    <mergeCell ref="B29:G29"/>
    <mergeCell ref="B16:G16"/>
    <mergeCell ref="B17:G17"/>
    <mergeCell ref="B18:G18"/>
    <mergeCell ref="B19:G19"/>
    <mergeCell ref="B21:G21"/>
    <mergeCell ref="B22:G22"/>
    <mergeCell ref="B23:G23"/>
  </mergeCells>
  <hyperlinks>
    <hyperlink r:id="rId1" ref="C12"/>
    <hyperlink display="1. Saat pertama kali menggunakan template ini, pastikan kamu menyesuaikan beberapa pengaturan umum pada sheet ⚙️Setup. Ubah semua daftar yang tersedia berdasarkan preferensimu (selain daftar nama bulan).&#10;                                      " location="'⚙️Setup'!A1" ref="B13"/>
    <hyperlink display="2. Setiap awal bulan, silahkan buat alokasi keuanganmu pada sheet Budgeting sesuai kolom bulan berjalan. Selain baris total, semua nominal pada sheet budgeting perlu kamu input secara manual.&#10;" location="Budgeting!A1" ref="B14"/>
    <hyperlink display="3. Ketika sudah mengisi semua nominal pada list pengeluaran di sheet Budgeting, kamu dapat melihat ringkasan alokasi keuangan yang sudah dibuat pada sheet Summary.&#10;&#10;Hampir semua data pada sheet Summary sudah terisi otomatis. Kamu hanya cukup mengatur ulang list akun bank berdasarkan daftar pengeluaran pada kolom C.&#10;&#10;Untuk melihat ulang budgeting bulan per bulan, kamu dapat memilih menu list daftar bulan pada bagian atas.&#10;" location="Summary!A1" ref="B15"/>
    <hyperlink display="4. Pada sheet Spending, kamu dapat membuat rekap transaksi per kategorinya. Rekap ini tidak perlu kamu buat setiap hari.  Pastikan juga untuk selalu menyesuaikan tanggal dan bulan transaksi agar data pengeluaran dapat direkap dengan benar.&#10;&#10;Jika berganti bulan, silahkan lanjutkan membuat daftar pengeluaran di bawah bulan sebelumnya. Cukup sesuaikan tanggal transaksinya saja.&#10;&#10;" location="Spending!A1" ref="B16"/>
    <hyperlink display="5. Kamu dapat dengan mudah rekap catatan keuangan setiap bulannya lewat sheet Report. Pada sheet ini tersedia beragam laporan seperti: total pemasukan, jumlah tabungan, dan uang yang dialokasikan setiap bulannya.&#10;&#10;Kamu juga dapat dengan mudah melihat kembali ringkasan pengeluran per bulan, statistik pengeluaran berdasarkan kategori, serta status persentasi penggunaan uang berdasarkan alokasi budget yang sudah dibuat.&#10;" location="Report!A1" ref="B17"/>
    <hyperlink display="6. Sheet Assets berguna untuk mencatat semua total asset keuangan yang ada. Kamu bebas menambahkan sendiri assets dan tabungan berdasarkan kategori yang tersedia.&#10;" location="Assets!A1" ref="B1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EAB93"/>
    <outlinePr summaryBelow="0" summaryRight="0"/>
  </sheetPr>
  <sheetViews>
    <sheetView showGridLines="0" workbookViewId="0"/>
  </sheetViews>
  <sheetFormatPr customHeight="1" defaultColWidth="12.63" defaultRowHeight="15.75"/>
  <cols>
    <col customWidth="1" min="1" max="1" width="2.0"/>
    <col customWidth="1" min="2" max="3" width="12.63"/>
    <col customWidth="1" min="4" max="4" width="6.38"/>
    <col customWidth="1" min="5" max="6" width="12.63"/>
    <col customWidth="1" min="7" max="7" width="6.38"/>
    <col customWidth="1" min="8" max="9" width="12.63"/>
    <col customWidth="1" min="10" max="10" width="7.0"/>
    <col customWidth="1" min="11" max="12" width="12.63"/>
    <col customWidth="1" min="13" max="13" width="2.0"/>
  </cols>
  <sheetData>
    <row r="1" ht="11.25" customHeight="1">
      <c r="A1" s="1"/>
      <c r="B1" s="1"/>
      <c r="C1" s="1"/>
      <c r="D1" s="1"/>
      <c r="E1" s="1"/>
      <c r="F1" s="1"/>
      <c r="G1" s="1"/>
      <c r="H1" s="1"/>
      <c r="I1" s="1"/>
      <c r="J1" s="1"/>
      <c r="K1" s="1"/>
      <c r="L1" s="1"/>
      <c r="M1" s="1"/>
    </row>
    <row r="2" ht="18.75" customHeight="1">
      <c r="A2" s="1"/>
      <c r="B2" s="63" t="s">
        <v>28</v>
      </c>
      <c r="J2" s="66" t="s">
        <v>29</v>
      </c>
      <c r="K2" s="68">
        <v>2024.0</v>
      </c>
      <c r="L2" s="74">
        <f>MONTH(DATEVALUE(K3&amp;" 1"))</f>
        <v>1</v>
      </c>
      <c r="M2" s="1"/>
    </row>
    <row r="3" ht="18.75" customHeight="1">
      <c r="A3" s="1"/>
      <c r="J3" s="66" t="s">
        <v>32</v>
      </c>
      <c r="K3" s="77" t="s">
        <v>34</v>
      </c>
      <c r="M3" s="1"/>
    </row>
    <row r="4" ht="18.75" customHeight="1">
      <c r="A4" s="1"/>
      <c r="B4" s="80"/>
      <c r="C4" s="80"/>
      <c r="D4" s="1"/>
      <c r="E4" s="80"/>
      <c r="F4" s="80"/>
      <c r="G4" s="1"/>
      <c r="H4" s="80"/>
      <c r="I4" s="80"/>
      <c r="J4" s="82"/>
      <c r="K4" s="84"/>
      <c r="L4" s="80"/>
      <c r="M4" s="1"/>
    </row>
    <row r="5" ht="30.0" customHeight="1">
      <c r="A5" s="1"/>
      <c r="B5" s="86"/>
      <c r="C5" s="86"/>
      <c r="D5" s="86"/>
      <c r="E5" s="88" t="s">
        <v>35</v>
      </c>
      <c r="F5" s="90"/>
      <c r="G5" s="90"/>
      <c r="H5" s="90"/>
      <c r="I5" s="90"/>
      <c r="J5" s="92"/>
      <c r="K5" s="92"/>
      <c r="L5" s="90"/>
      <c r="M5" s="43"/>
    </row>
    <row r="6" ht="18.75" customHeight="1">
      <c r="A6" s="1"/>
      <c r="B6" s="96"/>
      <c r="C6" s="96"/>
      <c r="D6" s="1"/>
      <c r="E6" s="96"/>
      <c r="F6" s="96"/>
      <c r="G6" s="1"/>
      <c r="H6" s="96"/>
      <c r="I6" s="96"/>
      <c r="J6" s="1"/>
      <c r="K6" s="96"/>
      <c r="L6" s="96"/>
      <c r="M6" s="1"/>
    </row>
    <row r="7" ht="22.5" customHeight="1">
      <c r="A7" s="1"/>
      <c r="B7" s="103" t="s">
        <v>40</v>
      </c>
      <c r="C7" s="104"/>
      <c r="D7" s="1"/>
      <c r="E7" s="103" t="s">
        <v>41</v>
      </c>
      <c r="F7" s="104"/>
      <c r="G7" s="1"/>
      <c r="H7" s="103" t="s">
        <v>43</v>
      </c>
      <c r="I7" s="104"/>
      <c r="J7" s="1"/>
      <c r="K7" s="103" t="s">
        <v>44</v>
      </c>
      <c r="L7" s="104"/>
      <c r="M7" s="1"/>
    </row>
    <row r="8" ht="22.5" customHeight="1">
      <c r="A8" s="1"/>
      <c r="B8" s="115">
        <f t="array" ref="B8">INDEX(Budgeting!C10:N10, 1, MATCH(K3, Budgeting!C2:N2, 0)) + N("AndBV3")</f>
        <v>6943000</v>
      </c>
      <c r="C8" s="116"/>
      <c r="D8" s="117"/>
      <c r="E8" s="115">
        <f t="array" ref="E8">INDEX(Budgeting!$C$43:$N$43, 1, MATCH(K3, Budgeting!$C$2:$N$2, 0))
</f>
        <v>3250000</v>
      </c>
      <c r="F8" s="116"/>
      <c r="G8" s="117"/>
      <c r="H8" s="115">
        <f t="array" ref="H8">SUMIFS(Spending!G:G, TEXT(Spending!C:C, "MM/YYYY"), TEXT(DATEVALUE("01/"&amp;TEXT($K$3, "00")&amp;"/"&amp;$K$2), "MM/YYYY"))
</f>
        <v>2033500</v>
      </c>
      <c r="I8" s="116"/>
      <c r="J8" s="117"/>
      <c r="K8" s="115">
        <f t="array" ref="K8">INDEX(Budgeting!$C$19:$N$19, 1, MATCH(K3, Budgeting!$C$2:$N$2, 0))
</f>
        <v>343982000</v>
      </c>
      <c r="L8" s="116"/>
      <c r="M8" s="1"/>
    </row>
    <row r="9" ht="22.5" customHeight="1">
      <c r="A9" s="1"/>
      <c r="B9" s="119"/>
      <c r="C9" s="120"/>
      <c r="D9" s="117"/>
      <c r="E9" s="119"/>
      <c r="F9" s="120"/>
      <c r="G9" s="117"/>
      <c r="H9" s="119"/>
      <c r="I9" s="120"/>
      <c r="J9" s="117"/>
      <c r="K9" s="119"/>
      <c r="L9" s="120"/>
      <c r="M9" s="1"/>
    </row>
    <row r="10" ht="18.75" customHeight="1">
      <c r="A10" s="1"/>
      <c r="B10" s="121"/>
      <c r="C10" s="121"/>
      <c r="D10" s="1"/>
      <c r="E10" s="121"/>
      <c r="F10" s="121"/>
      <c r="G10" s="1"/>
      <c r="H10" s="121"/>
      <c r="I10" s="121"/>
      <c r="J10" s="1"/>
      <c r="K10" s="121"/>
      <c r="L10" s="121"/>
      <c r="M10" s="1"/>
    </row>
    <row r="11" ht="26.25" customHeight="1">
      <c r="A11" s="122"/>
      <c r="B11" s="123" t="s">
        <v>62</v>
      </c>
      <c r="C11" s="124"/>
      <c r="D11" s="123" t="s">
        <v>63</v>
      </c>
      <c r="E11" s="124"/>
      <c r="F11" s="123" t="s">
        <v>64</v>
      </c>
      <c r="G11" s="124"/>
      <c r="H11" s="123" t="s">
        <v>65</v>
      </c>
      <c r="I11" s="125"/>
      <c r="J11" s="125"/>
      <c r="K11" s="124"/>
      <c r="L11" s="126" t="s">
        <v>66</v>
      </c>
      <c r="M11" s="122"/>
    </row>
    <row r="12" ht="18.75" customHeight="1">
      <c r="A12" s="1"/>
      <c r="B12" s="127" t="str">
        <f>Budgeting!B23</f>
        <v>Family</v>
      </c>
      <c r="C12" s="128"/>
      <c r="D12" s="130">
        <f t="array" ref="D12">IFERROR(INDEX(Budgeting!C$23:N$42, MATCH(B12, Budgeting!B$23:B$42, 0), MATCH($K$3, Budgeting!C$2:N$2, 0)), "")</f>
        <v>500000</v>
      </c>
      <c r="E12" s="128"/>
      <c r="F12" s="134">
        <f t="array" ref="F12">SUMIFS(Spending!G:G, Spending!F:F, B12, TEXT(Spending!C:C, "MM/YYYY"), TEXT(DATEVALUE("01/"&amp;TEXT($K$3, "00")&amp;"/"&amp;$K$2), "MM/YYYY"))
</f>
        <v>0</v>
      </c>
      <c r="G12" s="128"/>
      <c r="H12" s="136" t="str">
        <f>IFERROR(__xludf.DUMMYFUNCTION("IF(AND(F12&lt;&gt;"""", D12&lt;&gt;"""", MAX(D12)&lt;&gt;0), 
  SPARKLINE(F12, 
    {
      ""charttype"", ""bar""; 
      ""max"", MAX(D12); 
      ""color1"", IF(F12/MAX(D12)&lt;0.7, ""#C3EDC0"", IF(F12/MAX(D12)&gt;=0.7, IF(F12/MAX(D12)&lt;1, ""#F9F3CC"", ""#FCC8D1""), ""00b88c"""&amp;"))
    }
  ), 
  """")
"),"")</f>
        <v/>
      </c>
      <c r="I12" s="137"/>
      <c r="J12" s="137"/>
      <c r="K12" s="128"/>
      <c r="L12" s="138">
        <f t="shared" ref="L12:L31" si="1">IFERROR(F12/D12,0)</f>
        <v>0</v>
      </c>
      <c r="M12" s="1"/>
    </row>
    <row r="13" ht="18.75" customHeight="1">
      <c r="A13" s="1"/>
      <c r="B13" s="139" t="str">
        <f>Budgeting!B24</f>
        <v>Utilities</v>
      </c>
      <c r="C13" s="140"/>
      <c r="D13" s="141">
        <f t="array" ref="D13">IFERROR(INDEX(Budgeting!C$23:N$42, MATCH(B13, Budgeting!B$23:B$42, 0), MATCH($K$3, Budgeting!C$2:N$2, 0)), "")</f>
        <v>500000</v>
      </c>
      <c r="E13" s="140"/>
      <c r="F13" s="134">
        <f t="array" ref="F13">SUMIFS(Spending!G:G, Spending!F:F, B13, TEXT(Spending!C:C, "MM/YYYY"), TEXT(DATEVALUE("01/"&amp;TEXT($K$3, "00")&amp;"/"&amp;$K$2), "MM/YYYY"))
</f>
        <v>500000</v>
      </c>
      <c r="G13" s="128"/>
      <c r="H13" s="136" t="str">
        <f>IFERROR(__xludf.DUMMYFUNCTION("IF(AND(F13&lt;&gt;"""", D13&lt;&gt;"""", MAX(D13)&lt;&gt;0), 
  SPARKLINE(F13, 
    {
      ""charttype"", ""bar""; 
      ""max"", MAX(D13); 
      ""color1"", IF(F13/MAX(D13)&lt;0.7, ""#C3EDC0"", IF(F13/MAX(D13)&gt;=0.7, IF(F13/MAX(D13)&lt;1, ""#F9F3CC"", ""#FCC8D1""), ""00b88c"""&amp;"))
    }
  ), 
  """")
"),"")</f>
        <v/>
      </c>
      <c r="I13" s="137"/>
      <c r="J13" s="137"/>
      <c r="K13" s="128"/>
      <c r="L13" s="138">
        <f t="shared" si="1"/>
        <v>1</v>
      </c>
      <c r="M13" s="1"/>
    </row>
    <row r="14" ht="18.75" customHeight="1">
      <c r="A14" s="1"/>
      <c r="B14" s="139" t="str">
        <f>Budgeting!B25</f>
        <v>Food</v>
      </c>
      <c r="C14" s="140"/>
      <c r="D14" s="141">
        <f t="array" ref="D14">IFERROR(INDEX(Budgeting!C$23:N$42, MATCH(B14, Budgeting!B$23:B$42, 0), MATCH($K$3, Budgeting!C$2:N$2, 0)), "")</f>
        <v>600000</v>
      </c>
      <c r="E14" s="140"/>
      <c r="F14" s="134">
        <f t="array" ref="F14">SUMIFS(Spending!G:G, Spending!F:F, B14, TEXT(Spending!C:C, "MM/YYYY"), TEXT(DATEVALUE("01/"&amp;TEXT($K$3, "00")&amp;"/"&amp;$K$2), "MM/YYYY"))
</f>
        <v>473000</v>
      </c>
      <c r="G14" s="128"/>
      <c r="H14" s="136" t="str">
        <f>IFERROR(__xludf.DUMMYFUNCTION("IF(AND(F14&lt;&gt;"""", D14&lt;&gt;"""", MAX(D14)&lt;&gt;0), 
  SPARKLINE(F14, 
    {
      ""charttype"", ""bar""; 
      ""max"", MAX(D14); 
      ""color1"", IF(F14/MAX(D14)&lt;0.7, ""#C3EDC0"", IF(F14/MAX(D14)&gt;=0.7, IF(F14/MAX(D14)&lt;1, ""#F9F3CC"", ""#FCC8D1""), ""00b88c"""&amp;"))
    }
  ), 
  """")
"),"")</f>
        <v/>
      </c>
      <c r="I14" s="137"/>
      <c r="J14" s="137"/>
      <c r="K14" s="128"/>
      <c r="L14" s="138">
        <f t="shared" si="1"/>
        <v>0.7883333333</v>
      </c>
      <c r="M14" s="1"/>
    </row>
    <row r="15" ht="18.75" customHeight="1">
      <c r="A15" s="1"/>
      <c r="B15" s="139" t="str">
        <f>Budgeting!B26</f>
        <v>Supplies</v>
      </c>
      <c r="C15" s="140"/>
      <c r="D15" s="141">
        <f t="array" ref="D15">IFERROR(INDEX(Budgeting!C$23:N$42, MATCH(B15, Budgeting!B$23:B$42, 0), MATCH($K$3, Budgeting!C$2:N$2, 0)), "")</f>
        <v>500000</v>
      </c>
      <c r="E15" s="140"/>
      <c r="F15" s="134">
        <f t="array" ref="F15">SUMIFS(Spending!G:G, Spending!F:F, B15, TEXT(Spending!C:C, "MM/YYYY"), TEXT(DATEVALUE("01/"&amp;TEXT($K$3, "00")&amp;"/"&amp;$K$2), "MM/YYYY"))
</f>
        <v>400000</v>
      </c>
      <c r="G15" s="128"/>
      <c r="H15" s="136" t="str">
        <f>IFERROR(__xludf.DUMMYFUNCTION("IF(AND(F15&lt;&gt;"""", D15&lt;&gt;"""", MAX(D15)&lt;&gt;0), 
  SPARKLINE(F15, 
    {
      ""charttype"", ""bar""; 
      ""max"", MAX(D15); 
      ""color1"", IF(F15/MAX(D15)&lt;0.7, ""#C3EDC0"", IF(F15/MAX(D15)&gt;=0.7, IF(F15/MAX(D15)&lt;1, ""#F9F3CC"", ""#FCC8D1""), ""00b88c"""&amp;"))
    }
  ), 
  """")
"),"")</f>
        <v/>
      </c>
      <c r="I15" s="137"/>
      <c r="J15" s="137"/>
      <c r="K15" s="128"/>
      <c r="L15" s="138">
        <f t="shared" si="1"/>
        <v>0.8</v>
      </c>
      <c r="M15" s="1"/>
    </row>
    <row r="16" ht="18.75" customHeight="1">
      <c r="A16" s="1"/>
      <c r="B16" s="139" t="str">
        <f>Budgeting!B27</f>
        <v>Transportation</v>
      </c>
      <c r="C16" s="140"/>
      <c r="D16" s="141">
        <f t="array" ref="D16">IFERROR(INDEX(Budgeting!C$23:N$42, MATCH(B16, Budgeting!B$23:B$42, 0), MATCH($K$3, Budgeting!C$2:N$2, 0)), "")</f>
        <v>400000</v>
      </c>
      <c r="E16" s="140"/>
      <c r="F16" s="134">
        <f t="array" ref="F16">SUMIFS(Spending!G:G, Spending!F:F, B16, TEXT(Spending!C:C, "MM/YYYY"), TEXT(DATEVALUE("01/"&amp;TEXT($K$3, "00")&amp;"/"&amp;$K$2), "MM/YYYY"))
</f>
        <v>382500</v>
      </c>
      <c r="G16" s="128"/>
      <c r="H16" s="136" t="str">
        <f>IFERROR(__xludf.DUMMYFUNCTION("IF(AND(F16&lt;&gt;"""", D16&lt;&gt;"""", MAX(D16)&lt;&gt;0), 
  SPARKLINE(F16, 
    {
      ""charttype"", ""bar""; 
      ""max"", MAX(D16); 
      ""color1"", IF(F16/MAX(D16)&lt;0.7, ""#C3EDC0"", IF(F16/MAX(D16)&gt;=0.7, IF(F16/MAX(D16)&lt;1, ""#F9F3CC"", ""#FCC8D1""), ""00b88c"""&amp;"))
    }
  ), 
  """")
"),"")</f>
        <v/>
      </c>
      <c r="I16" s="137"/>
      <c r="J16" s="137"/>
      <c r="K16" s="128"/>
      <c r="L16" s="138">
        <f t="shared" si="1"/>
        <v>0.95625</v>
      </c>
      <c r="M16" s="1"/>
    </row>
    <row r="17" ht="18.75" customHeight="1">
      <c r="A17" s="1"/>
      <c r="B17" s="139" t="str">
        <f>Budgeting!B28</f>
        <v>Healthcare</v>
      </c>
      <c r="C17" s="140"/>
      <c r="D17" s="141">
        <f t="array" ref="D17">IFERROR(INDEX(Budgeting!C$23:N$42, MATCH(B17, Budgeting!B$23:B$42, 0), MATCH($K$3, Budgeting!C$2:N$2, 0)), "")</f>
        <v>200000</v>
      </c>
      <c r="E17" s="140"/>
      <c r="F17" s="134">
        <f t="array" ref="F17">SUMIFS(Spending!G:G, Spending!F:F, B17, TEXT(Spending!C:C, "MM/YYYY"), TEXT(DATEVALUE("01/"&amp;TEXT($K$3, "00")&amp;"/"&amp;$K$2), "MM/YYYY"))
</f>
        <v>100000</v>
      </c>
      <c r="G17" s="128"/>
      <c r="H17" s="136" t="str">
        <f>IFERROR(__xludf.DUMMYFUNCTION("IF(AND(F17&lt;&gt;"""", D17&lt;&gt;"""", MAX(D17)&lt;&gt;0), 
  SPARKLINE(F17, 
    {
      ""charttype"", ""bar""; 
      ""max"", MAX(D17); 
      ""color1"", IF(F17/MAX(D17)&lt;0.7, ""#C3EDC0"", IF(F17/MAX(D17)&gt;=0.7, IF(F17/MAX(D17)&lt;1, ""#F9F3CC"", ""#FCC8D1""), ""00b88c"""&amp;"))
    }
  ), 
  """")
"),"")</f>
        <v/>
      </c>
      <c r="I17" s="137"/>
      <c r="J17" s="137"/>
      <c r="K17" s="128"/>
      <c r="L17" s="138">
        <f t="shared" si="1"/>
        <v>0.5</v>
      </c>
      <c r="M17" s="1"/>
    </row>
    <row r="18" ht="18.75" customHeight="1">
      <c r="A18" s="1"/>
      <c r="B18" s="139" t="str">
        <f>Budgeting!B29</f>
        <v>Debt</v>
      </c>
      <c r="C18" s="140"/>
      <c r="D18" s="141">
        <f t="array" ref="D18">IFERROR(INDEX(Budgeting!C$23:N$42, MATCH(B18, Budgeting!B$23:B$42, 0), MATCH($K$3, Budgeting!C$2:N$2, 0)), "")</f>
        <v>0</v>
      </c>
      <c r="E18" s="140"/>
      <c r="F18" s="134">
        <f t="array" ref="F18">SUMIFS(Spending!G:G, Spending!F:F, B18, TEXT(Spending!C:C, "MM/YYYY"), TEXT(DATEVALUE("01/"&amp;TEXT($K$3, "00")&amp;"/"&amp;$K$2), "MM/YYYY"))
</f>
        <v>0</v>
      </c>
      <c r="G18" s="128"/>
      <c r="H18" s="136" t="str">
        <f>IFERROR(__xludf.DUMMYFUNCTION("IF(AND(F18&lt;&gt;"""", D18&lt;&gt;"""", MAX(D18)&lt;&gt;0), 
  SPARKLINE(F18, 
    {
      ""charttype"", ""bar""; 
      ""max"", MAX(D18); 
      ""color1"", IF(F18/MAX(D18)&lt;0.7, ""#C3EDC0"", IF(F18/MAX(D18)&gt;=0.7, IF(F18/MAX(D18)&lt;1, ""#F9F3CC"", ""#FCC8D1""), ""00b88c"""&amp;"))
    }
  ), 
  """")
"),"")</f>
        <v/>
      </c>
      <c r="I18" s="137"/>
      <c r="J18" s="137"/>
      <c r="K18" s="128"/>
      <c r="L18" s="138">
        <f t="shared" si="1"/>
        <v>0</v>
      </c>
      <c r="M18" s="1"/>
    </row>
    <row r="19" ht="18.75" customHeight="1">
      <c r="A19" s="1"/>
      <c r="B19" s="139" t="str">
        <f>Budgeting!B30</f>
        <v>Needs 8</v>
      </c>
      <c r="C19" s="140"/>
      <c r="D19" s="141" t="str">
        <f t="array" ref="D19">IFERROR(INDEX(Budgeting!C$23:N$42, MATCH(B19, Budgeting!B$23:B$42, 0), MATCH($K$3, Budgeting!C$2:N$2, 0)), "")</f>
        <v/>
      </c>
      <c r="E19" s="140"/>
      <c r="F19" s="134">
        <f t="array" ref="F19">SUMIFS(Spending!G:G, Spending!F:F, B19, TEXT(Spending!C:C, "MM/YYYY"), TEXT(DATEVALUE("01/"&amp;TEXT($K$3, "00")&amp;"/"&amp;$K$2), "MM/YYYY"))
</f>
        <v>0</v>
      </c>
      <c r="G19" s="128"/>
      <c r="H19" s="136" t="str">
        <f>IFERROR(__xludf.DUMMYFUNCTION("IF(AND(F19&lt;&gt;"""", D19&lt;&gt;"""", MAX(D19)&lt;&gt;0), 
  SPARKLINE(F19, 
    {
      ""charttype"", ""bar""; 
      ""max"", MAX(D19); 
      ""color1"", IF(F19/MAX(D19)&lt;0.7, ""#C3EDC0"", IF(F19/MAX(D19)&gt;=0.7, IF(F19/MAX(D19)&lt;1, ""#F9F3CC"", ""#FCC8D1""), ""00b88c"""&amp;"))
    }
  ), 
  """")
"),"")</f>
        <v/>
      </c>
      <c r="I19" s="137"/>
      <c r="J19" s="137"/>
      <c r="K19" s="128"/>
      <c r="L19" s="138">
        <f t="shared" si="1"/>
        <v>0</v>
      </c>
      <c r="M19" s="1"/>
    </row>
    <row r="20" ht="18.75" customHeight="1">
      <c r="A20" s="1"/>
      <c r="B20" s="139" t="str">
        <f>Budgeting!B31</f>
        <v>Needs 9</v>
      </c>
      <c r="C20" s="140"/>
      <c r="D20" s="141" t="str">
        <f t="array" ref="D20">IFERROR(INDEX(Budgeting!C$23:N$42, MATCH(B20, Budgeting!B$23:B$42, 0), MATCH($K$3, Budgeting!C$2:N$2, 0)), "")</f>
        <v/>
      </c>
      <c r="E20" s="140"/>
      <c r="F20" s="134">
        <f t="array" ref="F20">SUMIFS(Spending!G:G, Spending!F:F, B20, TEXT(Spending!C:C, "MM/YYYY"), TEXT(DATEVALUE("01/"&amp;TEXT($K$3, "00")&amp;"/"&amp;$K$2), "MM/YYYY"))
</f>
        <v>0</v>
      </c>
      <c r="G20" s="128"/>
      <c r="H20" s="136" t="str">
        <f>IFERROR(__xludf.DUMMYFUNCTION("IF(AND(F20&lt;&gt;"""", D20&lt;&gt;"""", MAX(D20)&lt;&gt;0), 
  SPARKLINE(F20, 
    {
      ""charttype"", ""bar""; 
      ""max"", MAX(D20); 
      ""color1"", IF(F20/MAX(D20)&lt;0.7, ""#C3EDC0"", IF(F20/MAX(D20)&gt;=0.7, IF(F20/MAX(D20)&lt;1, ""#F9F3CC"", ""#FCC8D1""), ""00b88c"""&amp;"))
    }
  ), 
  """")
"),"")</f>
        <v/>
      </c>
      <c r="I20" s="137"/>
      <c r="J20" s="137"/>
      <c r="K20" s="128"/>
      <c r="L20" s="138">
        <f t="shared" si="1"/>
        <v>0</v>
      </c>
      <c r="M20" s="1"/>
    </row>
    <row r="21" ht="18.75" customHeight="1">
      <c r="A21" s="1"/>
      <c r="B21" s="139" t="str">
        <f>Budgeting!B32</f>
        <v>Needs 10</v>
      </c>
      <c r="C21" s="140"/>
      <c r="D21" s="141" t="str">
        <f t="array" ref="D21">IFERROR(INDEX(Budgeting!C$23:N$42, MATCH(B21, Budgeting!B$23:B$42, 0), MATCH($K$3, Budgeting!C$2:N$2, 0)), "")</f>
        <v/>
      </c>
      <c r="E21" s="140"/>
      <c r="F21" s="134">
        <f t="array" ref="F21">SUMIFS(Spending!G:G, Spending!F:F, B21, TEXT(Spending!C:C, "MM/YYYY"), TEXT(DATEVALUE("01/"&amp;TEXT($K$3, "00")&amp;"/"&amp;$K$2), "MM/YYYY"))
</f>
        <v>0</v>
      </c>
      <c r="G21" s="128"/>
      <c r="H21" s="136" t="str">
        <f>IFERROR(__xludf.DUMMYFUNCTION("IF(AND(F21&lt;&gt;"""", D21&lt;&gt;"""", MAX(D21)&lt;&gt;0), 
  SPARKLINE(F21, 
    {
      ""charttype"", ""bar""; 
      ""max"", MAX(D21); 
      ""color1"", IF(F21/MAX(D21)&lt;0.7, ""#C3EDC0"", IF(F21/MAX(D21)&gt;=0.7, IF(F21/MAX(D21)&lt;1, ""#F9F3CC"", ""#FCC8D1""), ""00b88c"""&amp;"))
    }
  ), 
  """")
"),"")</f>
        <v/>
      </c>
      <c r="I21" s="137"/>
      <c r="J21" s="137"/>
      <c r="K21" s="128"/>
      <c r="L21" s="138">
        <f t="shared" si="1"/>
        <v>0</v>
      </c>
      <c r="M21" s="1"/>
    </row>
    <row r="22" ht="18.75" customHeight="1">
      <c r="A22" s="1"/>
      <c r="B22" s="139" t="str">
        <f>Budgeting!B33</f>
        <v>Shopping</v>
      </c>
      <c r="C22" s="140"/>
      <c r="D22" s="141">
        <f t="array" ref="D22">IFERROR(INDEX(Budgeting!C$23:N$42, MATCH(B22, Budgeting!B$23:B$42, 0), MATCH($K$3, Budgeting!C$2:N$2, 0)), "")</f>
        <v>200000</v>
      </c>
      <c r="E22" s="140"/>
      <c r="F22" s="134">
        <f t="array" ref="F22">SUMIFS(Spending!G:G, Spending!F:F, B22, TEXT(Spending!C:C, "MM/YYYY"), TEXT(DATEVALUE("01/"&amp;TEXT($K$3, "00")&amp;"/"&amp;$K$2), "MM/YYYY"))
</f>
        <v>0</v>
      </c>
      <c r="G22" s="128"/>
      <c r="H22" s="136" t="str">
        <f>IFERROR(__xludf.DUMMYFUNCTION("IF(AND(F22&lt;&gt;"""", D22&lt;&gt;"""", MAX(D22)&lt;&gt;0), 
  SPARKLINE(F22, 
    {
      ""charttype"", ""bar""; 
      ""max"", MAX(D22); 
      ""color1"", IF(F22/MAX(D22)&lt;0.7, ""#C3EDC0"", IF(F22/MAX(D22)&gt;=0.7, IF(F22/MAX(D22)&lt;1, ""#F9F3CC"", ""#FCC8D1""), ""00b88c"""&amp;"))
    }
  ), 
  """")
"),"")</f>
        <v/>
      </c>
      <c r="I22" s="137"/>
      <c r="J22" s="137"/>
      <c r="K22" s="128"/>
      <c r="L22" s="138">
        <f t="shared" si="1"/>
        <v>0</v>
      </c>
      <c r="M22" s="1"/>
    </row>
    <row r="23" ht="18.75" customHeight="1">
      <c r="A23" s="1"/>
      <c r="B23" s="139" t="str">
        <f>Budgeting!B34</f>
        <v>Entertaiment</v>
      </c>
      <c r="C23" s="140"/>
      <c r="D23" s="141">
        <f t="array" ref="D23">IFERROR(INDEX(Budgeting!C$23:N$42, MATCH(B23, Budgeting!B$23:B$42, 0), MATCH($K$3, Budgeting!C$2:N$2, 0)), "")</f>
        <v>200000</v>
      </c>
      <c r="E23" s="140"/>
      <c r="F23" s="134">
        <f t="array" ref="F23">SUMIFS(Spending!G:G, Spending!F:F, B23, TEXT(Spending!C:C, "MM/YYYY"), TEXT(DATEVALUE("01/"&amp;TEXT($K$3, "00")&amp;"/"&amp;$K$2), "MM/YYYY"))
</f>
        <v>178000</v>
      </c>
      <c r="G23" s="128"/>
      <c r="H23" s="136" t="str">
        <f>IFERROR(__xludf.DUMMYFUNCTION("IF(AND(F23&lt;&gt;"""", D23&lt;&gt;"""", MAX(D23)&lt;&gt;0), 
  SPARKLINE(F23, 
    {
      ""charttype"", ""bar""; 
      ""max"", MAX(D23); 
      ""color1"", IF(F23/MAX(D23)&lt;0.7, ""#C3EDC0"", IF(F23/MAX(D23)&gt;=0.7, IF(F23/MAX(D23)&lt;1, ""#F9F3CC"", ""#FCC8D1""), ""00b88c"""&amp;"))
    }
  ), 
  """")
"),"")</f>
        <v/>
      </c>
      <c r="I23" s="137"/>
      <c r="J23" s="137"/>
      <c r="K23" s="128"/>
      <c r="L23" s="138">
        <f t="shared" si="1"/>
        <v>0.89</v>
      </c>
      <c r="M23" s="1"/>
    </row>
    <row r="24" ht="18.75" customHeight="1">
      <c r="A24" s="1"/>
      <c r="B24" s="139" t="str">
        <f>Budgeting!B35</f>
        <v>Gifts</v>
      </c>
      <c r="C24" s="140"/>
      <c r="D24" s="141">
        <f t="array" ref="D24">IFERROR(INDEX(Budgeting!C$23:N$42, MATCH(B24, Budgeting!B$23:B$42, 0), MATCH($K$3, Budgeting!C$2:N$2, 0)), "")</f>
        <v>150000</v>
      </c>
      <c r="E24" s="140"/>
      <c r="F24" s="134">
        <f t="array" ref="F24">SUMIFS(Spending!G:G, Spending!F:F, B24, TEXT(Spending!C:C, "MM/YYYY"), TEXT(DATEVALUE("01/"&amp;TEXT($K$3, "00")&amp;"/"&amp;$K$2), "MM/YYYY"))
</f>
        <v>0</v>
      </c>
      <c r="G24" s="128"/>
      <c r="H24" s="136" t="str">
        <f>IFERROR(__xludf.DUMMYFUNCTION("IF(AND(F24&lt;&gt;"""", D24&lt;&gt;"""", MAX(D24)&lt;&gt;0), 
  SPARKLINE(F24, 
    {
      ""charttype"", ""bar""; 
      ""max"", MAX(D24); 
      ""color1"", IF(F24/MAX(D24)&lt;0.7, ""#C3EDC0"", IF(F24/MAX(D24)&gt;=0.7, IF(F24/MAX(D24)&lt;1, ""#F9F3CC"", ""#FCC8D1""), ""00b88c"""&amp;"))
    }
  ), 
  """")
"),"")</f>
        <v/>
      </c>
      <c r="I24" s="137"/>
      <c r="J24" s="137"/>
      <c r="K24" s="128"/>
      <c r="L24" s="138">
        <f t="shared" si="1"/>
        <v>0</v>
      </c>
      <c r="M24" s="1"/>
    </row>
    <row r="25" ht="18.75" customHeight="1">
      <c r="A25" s="1"/>
      <c r="B25" s="139" t="str">
        <f>Budgeting!B36</f>
        <v>Travel	</v>
      </c>
      <c r="C25" s="140"/>
      <c r="D25" s="141" t="str">
        <f t="array" ref="D25">IFERROR(INDEX(Budgeting!C$23:N$42, MATCH(B25, Budgeting!B$23:B$42, 0), MATCH($K$3, Budgeting!C$2:N$2, 0)), "")</f>
        <v/>
      </c>
      <c r="E25" s="140"/>
      <c r="F25" s="134">
        <f t="array" ref="F25">SUMIFS(Spending!G:G, Spending!F:F, B25, TEXT(Spending!C:C, "MM/YYYY"), TEXT(DATEVALUE("01/"&amp;TEXT($K$3, "00")&amp;"/"&amp;$K$2), "MM/YYYY"))
</f>
        <v>0</v>
      </c>
      <c r="G25" s="128"/>
      <c r="H25" s="136" t="str">
        <f>IFERROR(__xludf.DUMMYFUNCTION("IF(AND(F25&lt;&gt;"""", D25&lt;&gt;"""", MAX(D25)&lt;&gt;0), 
  SPARKLINE(F25, 
    {
      ""charttype"", ""bar""; 
      ""max"", MAX(D25); 
      ""color1"", IF(F25/MAX(D25)&lt;0.7, ""#C3EDC0"", IF(F25/MAX(D25)&gt;=0.7, IF(F25/MAX(D25)&lt;1, ""#F9F3CC"", ""#FCC8D1""), ""00b88c"""&amp;"))
    }
  ), 
  """")
"),"")</f>
        <v/>
      </c>
      <c r="I25" s="137"/>
      <c r="J25" s="137"/>
      <c r="K25" s="128"/>
      <c r="L25" s="138">
        <f t="shared" si="1"/>
        <v>0</v>
      </c>
      <c r="M25" s="1"/>
    </row>
    <row r="26" ht="18.75" customHeight="1">
      <c r="A26" s="1"/>
      <c r="B26" s="139" t="str">
        <f>Budgeting!B37</f>
        <v>Wants 5</v>
      </c>
      <c r="C26" s="140"/>
      <c r="D26" s="141" t="str">
        <f t="array" ref="D26">IFERROR(INDEX(Budgeting!C$23:N$42, MATCH(B26, Budgeting!B$23:B$42, 0), MATCH($K$3, Budgeting!C$2:N$2, 0)), "")</f>
        <v/>
      </c>
      <c r="E26" s="140"/>
      <c r="F26" s="134">
        <f t="array" ref="F26">SUMIFS(Spending!G:G, Spending!F:F, B26, TEXT(Spending!C:C, "MM/YYYY"), TEXT(DATEVALUE("01/"&amp;TEXT($K$3, "00")&amp;"/"&amp;$K$2), "MM/YYYY"))
</f>
        <v>0</v>
      </c>
      <c r="G26" s="128"/>
      <c r="H26" s="136" t="str">
        <f>IFERROR(__xludf.DUMMYFUNCTION("IF(AND(F26&lt;&gt;"""", D26&lt;&gt;"""", MAX(D26)&lt;&gt;0), 
  SPARKLINE(F26, 
    {
      ""charttype"", ""bar""; 
      ""max"", MAX(D26); 
      ""color1"", IF(F26/MAX(D26)&lt;0.7, ""#C3EDC0"", IF(F26/MAX(D26)&gt;=0.7, IF(F26/MAX(D26)&lt;1, ""#F9F3CC"", ""#FCC8D1""), ""00b88c"""&amp;"))
    }
  ), 
  """")
"),"")</f>
        <v/>
      </c>
      <c r="I26" s="137"/>
      <c r="J26" s="137"/>
      <c r="K26" s="128"/>
      <c r="L26" s="138">
        <f t="shared" si="1"/>
        <v>0</v>
      </c>
      <c r="M26" s="1"/>
    </row>
    <row r="27" ht="18.75" customHeight="1">
      <c r="A27" s="1"/>
      <c r="B27" s="139" t="str">
        <f>Budgeting!B38</f>
        <v>Wants 6</v>
      </c>
      <c r="C27" s="140"/>
      <c r="D27" s="141" t="str">
        <f t="array" ref="D27">IFERROR(INDEX(Budgeting!C$23:N$42, MATCH(B27, Budgeting!B$23:B$42, 0), MATCH($K$3, Budgeting!C$2:N$2, 0)), "")</f>
        <v/>
      </c>
      <c r="E27" s="140"/>
      <c r="F27" s="134">
        <f t="array" ref="F27">SUMIFS(Spending!G:G, Spending!F:F, B27, TEXT(Spending!C:C, "MM/YYYY"), TEXT(DATEVALUE("01/"&amp;TEXT($K$3, "00")&amp;"/"&amp;$K$2), "MM/YYYY"))
</f>
        <v>0</v>
      </c>
      <c r="G27" s="128"/>
      <c r="H27" s="136" t="str">
        <f>IFERROR(__xludf.DUMMYFUNCTION("IF(AND(F27&lt;&gt;"""", D27&lt;&gt;"""", MAX(D27)&lt;&gt;0), 
  SPARKLINE(F27, 
    {
      ""charttype"", ""bar""; 
      ""max"", MAX(D27); 
      ""color1"", IF(F27/MAX(D27)&lt;0.7, ""#C3EDC0"", IF(F27/MAX(D27)&gt;=0.7, IF(F27/MAX(D27)&lt;1, ""#F9F3CC"", ""#FCC8D1""), ""00b88c"""&amp;"))
    }
  ), 
  """")
"),"")</f>
        <v/>
      </c>
      <c r="I27" s="137"/>
      <c r="J27" s="137"/>
      <c r="K27" s="128"/>
      <c r="L27" s="138">
        <f t="shared" si="1"/>
        <v>0</v>
      </c>
      <c r="M27" s="1"/>
    </row>
    <row r="28" ht="18.75" customHeight="1">
      <c r="A28" s="1"/>
      <c r="B28" s="139" t="str">
        <f>Budgeting!B39</f>
        <v>Wants 7</v>
      </c>
      <c r="C28" s="140"/>
      <c r="D28" s="141" t="str">
        <f t="array" ref="D28">IFERROR(INDEX(Budgeting!C$23:N$42, MATCH(B28, Budgeting!B$23:B$42, 0), MATCH($K$3, Budgeting!C$2:N$2, 0)), "")</f>
        <v/>
      </c>
      <c r="E28" s="140"/>
      <c r="F28" s="134">
        <f t="array" ref="F28">SUMIFS(Spending!G:G, Spending!F:F, B28, TEXT(Spending!C:C, "MM/YYYY"), TEXT(DATEVALUE("01/"&amp;TEXT($K$3, "00")&amp;"/"&amp;$K$2), "MM/YYYY"))
</f>
        <v>0</v>
      </c>
      <c r="G28" s="128"/>
      <c r="H28" s="136" t="str">
        <f>IFERROR(__xludf.DUMMYFUNCTION("IF(AND(F28&lt;&gt;"""", D28&lt;&gt;"""", MAX(D28)&lt;&gt;0), 
  SPARKLINE(F28, 
    {
      ""charttype"", ""bar""; 
      ""max"", MAX(D28); 
      ""color1"", IF(F28/MAX(D28)&lt;0.7, ""#C3EDC0"", IF(F28/MAX(D28)&gt;=0.7, IF(F28/MAX(D28)&lt;1, ""#F9F3CC"", ""#FCC8D1""), ""00b88c"""&amp;"))
    }
  ), 
  """")
"),"")</f>
        <v/>
      </c>
      <c r="I28" s="137"/>
      <c r="J28" s="137"/>
      <c r="K28" s="128"/>
      <c r="L28" s="138">
        <f t="shared" si="1"/>
        <v>0</v>
      </c>
      <c r="M28" s="1"/>
    </row>
    <row r="29" ht="18.75" customHeight="1">
      <c r="A29" s="1"/>
      <c r="B29" s="139" t="str">
        <f>Budgeting!B40</f>
        <v>Wants 8</v>
      </c>
      <c r="C29" s="140"/>
      <c r="D29" s="141" t="str">
        <f t="array" ref="D29">IFERROR(INDEX(Budgeting!C$23:N$42, MATCH(B29, Budgeting!B$23:B$42, 0), MATCH($K$3, Budgeting!C$2:N$2, 0)), "")</f>
        <v/>
      </c>
      <c r="E29" s="140"/>
      <c r="F29" s="134">
        <f t="array" ref="F29">SUMIFS(Spending!G:G, Spending!F:F, B29, TEXT(Spending!C:C, "MM/YYYY"), TEXT(DATEVALUE("01/"&amp;TEXT($K$3, "00")&amp;"/"&amp;$K$2), "MM/YYYY"))
</f>
        <v>0</v>
      </c>
      <c r="G29" s="128"/>
      <c r="H29" s="136" t="str">
        <f>IFERROR(__xludf.DUMMYFUNCTION("IF(AND(F29&lt;&gt;"""", D29&lt;&gt;"""", MAX(D29)&lt;&gt;0), 
  SPARKLINE(F29, 
    {
      ""charttype"", ""bar""; 
      ""max"", MAX(D29); 
      ""color1"", IF(F29/MAX(D29)&lt;0.7, ""#C3EDC0"", IF(F29/MAX(D29)&gt;=0.7, IF(F29/MAX(D29)&lt;1, ""#F9F3CC"", ""#FCC8D1""), ""00b88c"""&amp;"))
    }
  ), 
  """")
"),"")</f>
        <v/>
      </c>
      <c r="I29" s="137"/>
      <c r="J29" s="137"/>
      <c r="K29" s="128"/>
      <c r="L29" s="138">
        <f t="shared" si="1"/>
        <v>0</v>
      </c>
      <c r="M29" s="1"/>
    </row>
    <row r="30" ht="18.75" customHeight="1">
      <c r="A30" s="1"/>
      <c r="B30" s="139" t="str">
        <f>Budgeting!B41</f>
        <v>Wants 9</v>
      </c>
      <c r="C30" s="140"/>
      <c r="D30" s="141" t="str">
        <f t="array" ref="D30">IFERROR(INDEX(Budgeting!C$23:N$42, MATCH(B30, Budgeting!B$23:B$42, 0), MATCH($K$3, Budgeting!C$2:N$2, 0)), "")</f>
        <v/>
      </c>
      <c r="E30" s="140"/>
      <c r="F30" s="134">
        <f t="array" ref="F30">SUMIFS(Spending!G:G, Spending!F:F, B30, TEXT(Spending!C:C, "MM/YYYY"), TEXT(DATEVALUE("01/"&amp;TEXT($K$3, "00")&amp;"/"&amp;$K$2), "MM/YYYY"))
</f>
        <v>0</v>
      </c>
      <c r="G30" s="128"/>
      <c r="H30" s="136" t="str">
        <f>IFERROR(__xludf.DUMMYFUNCTION("IF(AND(F30&lt;&gt;"""", D30&lt;&gt;"""", MAX(D30)&lt;&gt;0), 
  SPARKLINE(F30, 
    {
      ""charttype"", ""bar""; 
      ""max"", MAX(D30); 
      ""color1"", IF(F30/MAX(D30)&lt;0.7, ""#C3EDC0"", IF(F30/MAX(D30)&gt;=0.7, IF(F30/MAX(D30)&lt;1, ""#F9F3CC"", ""#FCC8D1""), ""00b88c"""&amp;"))
    }
  ), 
  """")
"),"")</f>
        <v/>
      </c>
      <c r="I30" s="137"/>
      <c r="J30" s="137"/>
      <c r="K30" s="128"/>
      <c r="L30" s="138">
        <f t="shared" si="1"/>
        <v>0</v>
      </c>
      <c r="M30" s="1"/>
    </row>
    <row r="31" ht="18.75" customHeight="1">
      <c r="A31" s="1"/>
      <c r="B31" s="139" t="str">
        <f>Budgeting!B42</f>
        <v>Wants 10</v>
      </c>
      <c r="C31" s="140"/>
      <c r="D31" s="141" t="str">
        <f t="array" ref="D31">IFERROR(INDEX(Budgeting!C$23:N$42, MATCH(B31, Budgeting!B$23:B$42, 0), MATCH($K$3, Budgeting!C$2:N$2, 0)), "")</f>
        <v/>
      </c>
      <c r="E31" s="140"/>
      <c r="F31" s="134">
        <f t="array" ref="F31">SUMIFS(Spending!G:G, Spending!F:F, B31, TEXT(Spending!C:C, "MM/YYYY"), TEXT(DATEVALUE("01/"&amp;TEXT($K$3, "00")&amp;"/"&amp;$K$2), "MM/YYYY"))
</f>
        <v>0</v>
      </c>
      <c r="G31" s="128"/>
      <c r="H31" s="136" t="str">
        <f>IFERROR(__xludf.DUMMYFUNCTION("IF(AND(F31&lt;&gt;"""", D31&lt;&gt;"""", MAX(D31)&lt;&gt;0), 
  SPARKLINE(F31, 
    {
      ""charttype"", ""bar""; 
      ""max"", MAX(D31); 
      ""color1"", IF(F31/MAX(D31)&lt;0.7, ""#C3EDC0"", IF(F31/MAX(D31)&gt;=0.7, IF(F31/MAX(D31)&lt;1, ""#F9F3CC"", ""#FCC8D1""), ""00b88c"""&amp;"))
    }
  ), 
  """")
"),"")</f>
        <v/>
      </c>
      <c r="I31" s="137"/>
      <c r="J31" s="137"/>
      <c r="K31" s="128"/>
      <c r="L31" s="138">
        <f t="shared" si="1"/>
        <v>0</v>
      </c>
      <c r="M31" s="1"/>
    </row>
    <row r="32" ht="18.75" customHeight="1">
      <c r="A32" s="1"/>
      <c r="B32" s="261"/>
      <c r="C32" s="262"/>
      <c r="D32" s="263"/>
      <c r="E32" s="262"/>
      <c r="F32" s="264"/>
      <c r="G32" s="262"/>
      <c r="H32" s="265"/>
      <c r="I32" s="266"/>
      <c r="J32" s="266"/>
      <c r="K32" s="267"/>
      <c r="L32" s="268"/>
      <c r="M32" s="1"/>
    </row>
    <row r="33" ht="18.75" customHeight="1">
      <c r="A33" s="1"/>
      <c r="B33" s="269"/>
      <c r="C33" s="269"/>
      <c r="D33" s="269"/>
      <c r="E33" s="270"/>
      <c r="F33" s="270"/>
      <c r="G33" s="271"/>
      <c r="H33" s="272"/>
      <c r="M33" s="1"/>
    </row>
    <row r="34" ht="22.5" customHeight="1">
      <c r="A34" s="1"/>
      <c r="B34" s="273" t="s">
        <v>92</v>
      </c>
      <c r="C34" s="1"/>
      <c r="D34" s="1"/>
      <c r="E34" s="1"/>
      <c r="F34" s="1"/>
      <c r="G34" s="274"/>
      <c r="H34" s="273" t="s">
        <v>93</v>
      </c>
      <c r="M34" s="1"/>
    </row>
    <row r="35" ht="18.75" customHeight="1">
      <c r="A35" s="1"/>
      <c r="B35" s="275"/>
      <c r="C35" s="276"/>
      <c r="D35" s="276"/>
      <c r="E35" s="276"/>
      <c r="F35" s="277"/>
      <c r="G35" s="278"/>
      <c r="H35" s="275"/>
      <c r="I35" s="276"/>
      <c r="J35" s="276"/>
      <c r="K35" s="276"/>
      <c r="L35" s="277"/>
      <c r="M35" s="1"/>
    </row>
    <row r="36" ht="18.75" customHeight="1">
      <c r="A36" s="1"/>
      <c r="B36" s="279"/>
      <c r="F36" s="280"/>
      <c r="G36" s="281"/>
      <c r="H36" s="279"/>
      <c r="L36" s="280"/>
      <c r="M36" s="1"/>
    </row>
    <row r="37" ht="18.75" customHeight="1">
      <c r="A37" s="1"/>
      <c r="B37" s="279"/>
      <c r="F37" s="280"/>
      <c r="G37" s="281"/>
      <c r="H37" s="279"/>
      <c r="L37" s="280"/>
      <c r="M37" s="1"/>
    </row>
    <row r="38" ht="18.75" customHeight="1">
      <c r="A38" s="1"/>
      <c r="B38" s="279"/>
      <c r="F38" s="280"/>
      <c r="G38" s="281"/>
      <c r="H38" s="279"/>
      <c r="L38" s="280"/>
      <c r="M38" s="1"/>
    </row>
    <row r="39" ht="18.75" customHeight="1">
      <c r="A39" s="1"/>
      <c r="B39" s="279"/>
      <c r="F39" s="280"/>
      <c r="G39" s="281"/>
      <c r="H39" s="279"/>
      <c r="L39" s="280"/>
      <c r="M39" s="1"/>
    </row>
    <row r="40" ht="18.75" customHeight="1">
      <c r="A40" s="1"/>
      <c r="B40" s="279"/>
      <c r="F40" s="280"/>
      <c r="G40" s="271"/>
      <c r="H40" s="279"/>
      <c r="L40" s="280"/>
      <c r="M40" s="1"/>
    </row>
    <row r="41" ht="18.75" customHeight="1">
      <c r="A41" s="1"/>
      <c r="B41" s="279"/>
      <c r="F41" s="280"/>
      <c r="G41" s="271"/>
      <c r="H41" s="279"/>
      <c r="L41" s="280"/>
      <c r="M41" s="1"/>
    </row>
    <row r="42" ht="18.75" customHeight="1">
      <c r="A42" s="1"/>
      <c r="B42" s="279"/>
      <c r="F42" s="280"/>
      <c r="G42" s="271"/>
      <c r="H42" s="279"/>
      <c r="L42" s="280"/>
      <c r="M42" s="1"/>
    </row>
    <row r="43" ht="18.75" customHeight="1">
      <c r="A43" s="1"/>
      <c r="B43" s="279"/>
      <c r="F43" s="280"/>
      <c r="G43" s="271"/>
      <c r="H43" s="279"/>
      <c r="L43" s="280"/>
      <c r="M43" s="1"/>
    </row>
    <row r="44" ht="18.75" customHeight="1">
      <c r="A44" s="1"/>
      <c r="B44" s="279"/>
      <c r="F44" s="280"/>
      <c r="G44" s="271"/>
      <c r="H44" s="279"/>
      <c r="L44" s="280"/>
      <c r="M44" s="1"/>
    </row>
    <row r="45" ht="18.75" customHeight="1">
      <c r="A45" s="1"/>
      <c r="B45" s="279"/>
      <c r="F45" s="280"/>
      <c r="G45" s="271"/>
      <c r="H45" s="279"/>
      <c r="L45" s="280"/>
      <c r="M45" s="1"/>
    </row>
    <row r="46" ht="18.75" customHeight="1">
      <c r="A46" s="1"/>
      <c r="B46" s="279"/>
      <c r="F46" s="280"/>
      <c r="G46" s="271"/>
      <c r="H46" s="279"/>
      <c r="L46" s="280"/>
      <c r="M46" s="1"/>
    </row>
    <row r="47" ht="18.75" customHeight="1">
      <c r="A47" s="1"/>
      <c r="B47" s="282"/>
      <c r="C47" s="283"/>
      <c r="D47" s="283"/>
      <c r="E47" s="283"/>
      <c r="F47" s="284"/>
      <c r="G47" s="271"/>
      <c r="H47" s="282"/>
      <c r="I47" s="283"/>
      <c r="J47" s="283"/>
      <c r="K47" s="283"/>
      <c r="L47" s="284"/>
      <c r="M47" s="1"/>
    </row>
    <row r="48" ht="18.75" customHeight="1">
      <c r="A48" s="1"/>
      <c r="B48" s="1"/>
      <c r="C48" s="1"/>
      <c r="D48" s="1"/>
      <c r="E48" s="1"/>
      <c r="F48" s="1"/>
      <c r="G48" s="271"/>
      <c r="H48" s="285"/>
      <c r="I48" s="269"/>
      <c r="J48" s="286"/>
      <c r="K48" s="287"/>
      <c r="L48" s="287"/>
      <c r="M48" s="1"/>
    </row>
    <row r="49" ht="18.75" customHeight="1">
      <c r="A49" s="1"/>
      <c r="B49" s="1"/>
      <c r="C49" s="1"/>
      <c r="D49" s="1"/>
      <c r="E49" s="1"/>
      <c r="F49" s="1"/>
      <c r="G49" s="271"/>
      <c r="H49" s="285"/>
      <c r="I49" s="269"/>
      <c r="J49" s="286"/>
      <c r="K49" s="287"/>
      <c r="L49" s="287"/>
      <c r="M49" s="1"/>
    </row>
  </sheetData>
  <mergeCells count="103">
    <mergeCell ref="B2:I3"/>
    <mergeCell ref="K3:L3"/>
    <mergeCell ref="E5:I5"/>
    <mergeCell ref="K5:L5"/>
    <mergeCell ref="E7:F7"/>
    <mergeCell ref="H7:I7"/>
    <mergeCell ref="K7:L7"/>
    <mergeCell ref="F11:G11"/>
    <mergeCell ref="H11:K11"/>
    <mergeCell ref="B7:C7"/>
    <mergeCell ref="B8:C9"/>
    <mergeCell ref="E8:F9"/>
    <mergeCell ref="H8:I9"/>
    <mergeCell ref="K8:L9"/>
    <mergeCell ref="B11:C11"/>
    <mergeCell ref="D11:E11"/>
    <mergeCell ref="B12:C12"/>
    <mergeCell ref="D12:E12"/>
    <mergeCell ref="F12:G12"/>
    <mergeCell ref="H12:K12"/>
    <mergeCell ref="D13:E13"/>
    <mergeCell ref="F13:G13"/>
    <mergeCell ref="H13:K13"/>
    <mergeCell ref="F15:G15"/>
    <mergeCell ref="H15:K15"/>
    <mergeCell ref="B13:C13"/>
    <mergeCell ref="B14:C14"/>
    <mergeCell ref="D14:E14"/>
    <mergeCell ref="F14:G14"/>
    <mergeCell ref="H14:K14"/>
    <mergeCell ref="B15:C15"/>
    <mergeCell ref="D15:E15"/>
    <mergeCell ref="F19:G19"/>
    <mergeCell ref="H19:K19"/>
    <mergeCell ref="B24:C24"/>
    <mergeCell ref="D24:E24"/>
    <mergeCell ref="F24:G24"/>
    <mergeCell ref="H24:K24"/>
    <mergeCell ref="D25:E25"/>
    <mergeCell ref="F25:G25"/>
    <mergeCell ref="H25:K25"/>
    <mergeCell ref="B25:C25"/>
    <mergeCell ref="B26:C26"/>
    <mergeCell ref="D26:E26"/>
    <mergeCell ref="F26:G26"/>
    <mergeCell ref="H26:K26"/>
    <mergeCell ref="B27:C27"/>
    <mergeCell ref="D27:E27"/>
    <mergeCell ref="B28:C28"/>
    <mergeCell ref="D28:E28"/>
    <mergeCell ref="F28:G28"/>
    <mergeCell ref="H28:K28"/>
    <mergeCell ref="D29:E29"/>
    <mergeCell ref="F29:G29"/>
    <mergeCell ref="H29:K29"/>
    <mergeCell ref="H33:L33"/>
    <mergeCell ref="H34:L34"/>
    <mergeCell ref="B35:F47"/>
    <mergeCell ref="H35:L47"/>
    <mergeCell ref="B29:C29"/>
    <mergeCell ref="B30:C30"/>
    <mergeCell ref="D30:E30"/>
    <mergeCell ref="F30:G30"/>
    <mergeCell ref="H30:K30"/>
    <mergeCell ref="B31:C31"/>
    <mergeCell ref="D31:E31"/>
    <mergeCell ref="B16:C16"/>
    <mergeCell ref="D16:E16"/>
    <mergeCell ref="F16:G16"/>
    <mergeCell ref="H16:K16"/>
    <mergeCell ref="D17:E17"/>
    <mergeCell ref="F17:G17"/>
    <mergeCell ref="H17:K17"/>
    <mergeCell ref="B17:C17"/>
    <mergeCell ref="B18:C18"/>
    <mergeCell ref="D18:E18"/>
    <mergeCell ref="F18:G18"/>
    <mergeCell ref="H18:K18"/>
    <mergeCell ref="B19:C19"/>
    <mergeCell ref="D19:E19"/>
    <mergeCell ref="B20:C20"/>
    <mergeCell ref="D20:E20"/>
    <mergeCell ref="F20:G20"/>
    <mergeCell ref="H20:K20"/>
    <mergeCell ref="D21:E21"/>
    <mergeCell ref="F21:G21"/>
    <mergeCell ref="H21:K21"/>
    <mergeCell ref="F23:G23"/>
    <mergeCell ref="H23:K23"/>
    <mergeCell ref="B21:C21"/>
    <mergeCell ref="B22:C22"/>
    <mergeCell ref="D22:E22"/>
    <mergeCell ref="F22:G22"/>
    <mergeCell ref="H22:K22"/>
    <mergeCell ref="B23:C23"/>
    <mergeCell ref="D23:E23"/>
    <mergeCell ref="F27:G27"/>
    <mergeCell ref="H27:K27"/>
    <mergeCell ref="F31:G31"/>
    <mergeCell ref="H31:K31"/>
    <mergeCell ref="B32:C32"/>
    <mergeCell ref="D32:E32"/>
    <mergeCell ref="F32:G32"/>
  </mergeCells>
  <conditionalFormatting sqref="H8:I9">
    <cfRule type="beginsWith" dxfId="3" priority="1" operator="beginsWith" text="-">
      <formula>LEFT((H8),LEN("-"))=("-")</formula>
    </cfRule>
  </conditionalFormatting>
  <conditionalFormatting sqref="L12:L31">
    <cfRule type="cellIs" dxfId="4" priority="2" operator="greaterThan">
      <formula>"100%"</formula>
    </cfRule>
  </conditionalFormatting>
  <conditionalFormatting sqref="L12:L32">
    <cfRule type="colorScale" priority="3">
      <colorScale>
        <cfvo type="min"/>
        <cfvo type="max"/>
        <color rgb="FFFFFFFF"/>
        <color rgb="FFF5E9CF"/>
      </colorScale>
    </cfRule>
  </conditionalFormatting>
  <dataValidations>
    <dataValidation type="list" allowBlank="1" showErrorMessage="1" sqref="K3">
      <formula1>'⚙️Setup'!$H$3:$H$14</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88C"/>
    <outlinePr summaryBelow="0" summaryRight="0"/>
  </sheetPr>
  <sheetViews>
    <sheetView showGridLines="0" workbookViewId="0"/>
  </sheetViews>
  <sheetFormatPr customHeight="1" defaultColWidth="12.63" defaultRowHeight="15.75"/>
  <cols>
    <col customWidth="1" min="1" max="1" width="2.0"/>
    <col customWidth="1" min="2" max="2" width="3.25"/>
    <col customWidth="1" min="3" max="3" width="16.38"/>
    <col customWidth="1" min="4" max="4" width="19.5"/>
    <col customWidth="1" min="5" max="5" width="2.0"/>
    <col customWidth="1" min="6" max="6" width="19.5"/>
    <col customWidth="1" hidden="1" min="7" max="7" width="3.75"/>
    <col customWidth="1" min="8" max="8" width="19.5"/>
    <col customWidth="1" min="9" max="9" width="2.0"/>
    <col customWidth="1" min="10" max="11" width="19.5"/>
    <col customWidth="1" min="12" max="12" width="2.0"/>
  </cols>
  <sheetData>
    <row r="1" ht="11.25" customHeight="1">
      <c r="A1" s="61" t="s">
        <v>145</v>
      </c>
      <c r="B1" s="62"/>
      <c r="C1" s="65"/>
      <c r="D1" s="65"/>
      <c r="E1" s="65"/>
      <c r="F1" s="65"/>
      <c r="G1" s="327"/>
      <c r="H1" s="65"/>
      <c r="I1" s="65"/>
      <c r="J1" s="65"/>
      <c r="K1" s="65"/>
      <c r="L1" s="62"/>
    </row>
    <row r="2" ht="18.75" customHeight="1">
      <c r="A2" s="62"/>
      <c r="B2" s="332">
        <f>TODAY()</f>
        <v>46317</v>
      </c>
      <c r="C2" s="334"/>
      <c r="D2" s="336"/>
      <c r="E2" s="336"/>
      <c r="F2" s="338" t="str">
        <f>IF(TODAY() = '⚙️Setup'!I3, "Today is payday!", "💰 The next payday is in " &amp; IF(DAY(TODAY()) &lt;= DAY('⚙️Setup'!I3), DAY('⚙️Setup'!I3) - DAY(TODAY()), DAY(EOMONTH(TODAY(),0)) - DAY(TODAY()) + DAY('⚙️Setup'!I3)) &amp; " days")</f>
        <v>💰 The next payday is in 3 days</v>
      </c>
      <c r="G2" s="334"/>
      <c r="H2" s="334"/>
      <c r="I2" s="336"/>
      <c r="J2" s="339" t="s">
        <v>3</v>
      </c>
      <c r="K2" s="340" t="s">
        <v>34</v>
      </c>
      <c r="L2" s="341"/>
    </row>
    <row r="3" ht="10.5" customHeight="1">
      <c r="A3" s="62"/>
      <c r="B3" s="62"/>
      <c r="C3" s="342"/>
      <c r="D3" s="342"/>
      <c r="E3" s="342"/>
      <c r="F3" s="342"/>
      <c r="G3" s="343"/>
      <c r="H3" s="344"/>
      <c r="J3" s="43"/>
      <c r="K3" s="345"/>
      <c r="L3" s="62"/>
    </row>
    <row r="4" ht="26.25" customHeight="1">
      <c r="A4" s="62"/>
      <c r="B4" s="346" t="s">
        <v>146</v>
      </c>
      <c r="C4" s="347"/>
      <c r="D4" s="347"/>
      <c r="E4" s="347"/>
      <c r="F4" s="347"/>
      <c r="G4" s="347"/>
      <c r="H4" s="347"/>
      <c r="I4" s="347"/>
      <c r="J4" s="347"/>
      <c r="K4" s="347"/>
      <c r="L4" s="62"/>
    </row>
    <row r="5" ht="18.75" customHeight="1">
      <c r="A5" s="62"/>
      <c r="B5" s="62"/>
      <c r="C5" s="71"/>
      <c r="D5" s="71"/>
      <c r="E5" s="71"/>
      <c r="F5" s="71"/>
      <c r="G5" s="348"/>
      <c r="H5" s="72"/>
      <c r="I5" s="349"/>
      <c r="J5" s="350"/>
      <c r="K5" s="351"/>
      <c r="L5" s="62"/>
    </row>
    <row r="6" ht="21.0" customHeight="1">
      <c r="A6" s="62"/>
      <c r="B6" s="352" t="str">
        <f>'⚙️Setup'!B3</f>
        <v>BCA</v>
      </c>
      <c r="C6" s="197"/>
      <c r="D6" s="353">
        <f t="shared" ref="D6:D8" si="1">SUMPRODUCT($J$13:$J$36,$C$13:$C$36=B6)</f>
        <v>13100000</v>
      </c>
      <c r="E6" s="354"/>
      <c r="F6" s="355" t="s">
        <v>98</v>
      </c>
      <c r="G6" s="356"/>
      <c r="H6" s="353">
        <f t="shared" ref="H6:H8" si="2">SUMPRODUCT($J$13:$J$36,$H$13:$H$36=F6)</f>
        <v>2700000</v>
      </c>
      <c r="I6" s="354"/>
      <c r="J6" s="357" t="s">
        <v>40</v>
      </c>
      <c r="K6" s="358">
        <f t="array" ref="K6">INDEX(Budgeting!C10:N10, 1, MATCH(K2, Budgeting!C2:N2, 0))</f>
        <v>6943000</v>
      </c>
      <c r="L6" s="62"/>
    </row>
    <row r="7" ht="21.0" customHeight="1">
      <c r="A7" s="62"/>
      <c r="B7" s="359" t="str">
        <f>'⚙️Setup'!B4</f>
        <v>Account 2</v>
      </c>
      <c r="C7" s="360"/>
      <c r="D7" s="353">
        <f t="shared" si="1"/>
        <v>5150000</v>
      </c>
      <c r="E7" s="354"/>
      <c r="F7" s="361" t="s">
        <v>99</v>
      </c>
      <c r="G7" s="356"/>
      <c r="H7" s="353">
        <f t="shared" si="2"/>
        <v>550000</v>
      </c>
      <c r="I7" s="354"/>
      <c r="J7" s="362" t="s">
        <v>68</v>
      </c>
      <c r="K7" s="363">
        <f>K6-SUM(H6:H8)</f>
        <v>-340289000</v>
      </c>
      <c r="L7" s="62"/>
    </row>
    <row r="8" ht="21.0" customHeight="1">
      <c r="A8" s="62"/>
      <c r="B8" s="352" t="str">
        <f>'⚙️Setup'!B5</f>
        <v>Account 3</v>
      </c>
      <c r="C8" s="197"/>
      <c r="D8" s="353">
        <f t="shared" si="1"/>
        <v>328982000</v>
      </c>
      <c r="E8" s="354"/>
      <c r="F8" s="364" t="s">
        <v>90</v>
      </c>
      <c r="G8" s="356"/>
      <c r="H8" s="353">
        <f t="shared" si="2"/>
        <v>343982000</v>
      </c>
      <c r="I8" s="354"/>
      <c r="J8" s="362" t="s">
        <v>147</v>
      </c>
      <c r="K8" s="365">
        <f>SUM(K13:K36)</f>
        <v>50.01181046</v>
      </c>
      <c r="L8" s="62"/>
    </row>
    <row r="9" ht="7.5" customHeight="1">
      <c r="A9" s="87"/>
      <c r="B9" s="87"/>
      <c r="C9" s="366"/>
      <c r="D9" s="367"/>
      <c r="E9" s="367"/>
      <c r="F9" s="367"/>
      <c r="G9" s="368"/>
      <c r="H9" s="367"/>
      <c r="I9" s="367"/>
      <c r="J9" s="366"/>
      <c r="K9" s="366"/>
      <c r="L9" s="87"/>
    </row>
    <row r="10" ht="17.25" customHeight="1">
      <c r="A10" s="87"/>
      <c r="B10" s="369" t="s">
        <v>79</v>
      </c>
      <c r="D10" s="369" t="s">
        <v>62</v>
      </c>
      <c r="G10" s="370"/>
      <c r="H10" s="369" t="s">
        <v>148</v>
      </c>
      <c r="I10" s="369"/>
      <c r="J10" s="371" t="s">
        <v>149</v>
      </c>
      <c r="K10" s="371" t="s">
        <v>150</v>
      </c>
      <c r="L10" s="87"/>
    </row>
    <row r="11" ht="17.25" customHeight="1">
      <c r="A11" s="372"/>
      <c r="G11" s="370"/>
      <c r="I11" s="369"/>
      <c r="L11" s="372"/>
    </row>
    <row r="12" ht="11.25" customHeight="1">
      <c r="A12" s="62"/>
      <c r="B12" s="97" t="s">
        <v>36</v>
      </c>
      <c r="C12" s="373"/>
      <c r="D12" s="373"/>
      <c r="E12" s="373"/>
      <c r="F12" s="373"/>
      <c r="G12" s="374"/>
      <c r="H12" s="375"/>
      <c r="I12" s="375"/>
      <c r="J12" s="376"/>
      <c r="K12" s="376"/>
      <c r="L12" s="62"/>
    </row>
    <row r="13" ht="17.25" customHeight="1">
      <c r="A13" s="377"/>
      <c r="B13" s="378" t="b">
        <v>0</v>
      </c>
      <c r="C13" s="379" t="s">
        <v>103</v>
      </c>
      <c r="D13" s="380" t="str">
        <f>Budgeting!B13</f>
        <v>General Savings</v>
      </c>
      <c r="E13" s="162"/>
      <c r="F13" s="162"/>
      <c r="G13" s="381" t="str">
        <f t="array" ref="G13">INDEX('⚙️Setup'!$D$2:$F$2, MAX(IF('⚙️Setup'!$D$3:$F$25=D13, COLUMN('⚙️Setup'!$D$3:$F$25)-COLUMN('⚙️Setup'!$D$3)+1)))</f>
        <v>Savings</v>
      </c>
      <c r="H13" s="380" t="str">
        <f t="shared" ref="H13:H36" si="3">G13</f>
        <v>Savings</v>
      </c>
      <c r="I13" s="382"/>
      <c r="J13" s="383">
        <f t="array" ref="J13">IFERROR(INDEX(Budgeting!$C$5:$N$42, MATCH(D13, Budgeting!$B$5:$B$42, 0), MATCH($K$2, Budgeting!$C$2:$N$2, 0)), 0)</f>
        <v>10000000</v>
      </c>
      <c r="K13" s="384">
        <f t="shared" ref="K13:K36" si="4">IFERROR(J13/$K$6, 0)</f>
        <v>1.440299582</v>
      </c>
      <c r="L13" s="114"/>
    </row>
    <row r="14" ht="17.25" customHeight="1">
      <c r="A14" s="114"/>
      <c r="B14" s="378" t="b">
        <v>0</v>
      </c>
      <c r="C14" s="379" t="s">
        <v>85</v>
      </c>
      <c r="D14" s="380" t="str">
        <f>Budgeting!B14</f>
        <v>Emergency Funds</v>
      </c>
      <c r="E14" s="162"/>
      <c r="F14" s="162"/>
      <c r="G14" s="381" t="str">
        <f t="array" ref="G14">INDEX('⚙️Setup'!$D$2:$F$2, MAX(IF('⚙️Setup'!$D$3:$F$25=D14, COLUMN('⚙️Setup'!$D$3:$F$25)-COLUMN('⚙️Setup'!$D$3)+1)))</f>
        <v>Savings</v>
      </c>
      <c r="H14" s="380" t="str">
        <f t="shared" si="3"/>
        <v>Savings</v>
      </c>
      <c r="I14" s="382"/>
      <c r="J14" s="383">
        <f t="array" ref="J14">IFERROR(INDEX(Budgeting!$C$5:$N$42, MATCH(D14, Budgeting!$B$5:$B$42, 0), MATCH($K$2, Budgeting!$C$2:$N$2, 0)), 0)</f>
        <v>5000000</v>
      </c>
      <c r="K14" s="384">
        <f t="shared" si="4"/>
        <v>0.7201497912</v>
      </c>
      <c r="L14" s="114"/>
    </row>
    <row r="15" ht="17.25" customHeight="1">
      <c r="A15" s="114"/>
      <c r="B15" s="378" t="b">
        <v>0</v>
      </c>
      <c r="C15" s="379" t="s">
        <v>83</v>
      </c>
      <c r="D15" s="380" t="str">
        <f>Budgeting!B15</f>
        <v>Deposits</v>
      </c>
      <c r="E15" s="162"/>
      <c r="F15" s="162"/>
      <c r="G15" s="381" t="str">
        <f t="array" ref="G15">INDEX('⚙️Setup'!$D$2:$F$2, MAX(IF('⚙️Setup'!$D$3:$F$25=D15, COLUMN('⚙️Setup'!$D$3:$F$25)-COLUMN('⚙️Setup'!$D$3)+1)))</f>
        <v>Savings</v>
      </c>
      <c r="H15" s="380" t="str">
        <f t="shared" si="3"/>
        <v>Savings</v>
      </c>
      <c r="I15" s="382"/>
      <c r="J15" s="383">
        <f t="array" ref="J15">IFERROR(INDEX(Budgeting!$C$5:$N$42, MATCH(D15, Budgeting!$B$5:$B$42, 0), MATCH($K$2, Budgeting!$C$2:$N$2, 0)), 0)</f>
        <v>328982000</v>
      </c>
      <c r="K15" s="384">
        <f t="shared" si="4"/>
        <v>47.38326372</v>
      </c>
      <c r="L15" s="114"/>
    </row>
    <row r="16" ht="17.25" customHeight="1">
      <c r="A16" s="114"/>
      <c r="B16" s="378" t="b">
        <v>0</v>
      </c>
      <c r="C16" s="379" t="s">
        <v>85</v>
      </c>
      <c r="D16" s="380" t="str">
        <f>Budgeting!B17</f>
        <v>Savings 4</v>
      </c>
      <c r="E16" s="162"/>
      <c r="F16" s="162"/>
      <c r="G16" s="381" t="str">
        <f t="array" ref="G16">INDEX('⚙️Setup'!$D$2:$F$2, MAX(IF('⚙️Setup'!$D$3:$F$25=D16, COLUMN('⚙️Setup'!$D$3:$F$25)-COLUMN('⚙️Setup'!$D$3)+1)))</f>
        <v>Savings</v>
      </c>
      <c r="H16" s="380" t="str">
        <f t="shared" si="3"/>
        <v>Savings</v>
      </c>
      <c r="I16" s="382"/>
      <c r="J16" s="383" t="str">
        <f t="array" ref="J16">IFERROR(INDEX(Budgeting!$C$5:$N$42, MATCH(D16, Budgeting!$B$5:$B$42, 0), MATCH($K$2, Budgeting!$C$2:$N$2, 0)), 0)</f>
        <v/>
      </c>
      <c r="K16" s="384">
        <f t="shared" si="4"/>
        <v>0</v>
      </c>
      <c r="L16" s="114"/>
    </row>
    <row r="17" ht="17.25" customHeight="1">
      <c r="A17" s="114"/>
      <c r="B17" s="378" t="b">
        <v>0</v>
      </c>
      <c r="C17" s="379" t="s">
        <v>83</v>
      </c>
      <c r="D17" s="380" t="str">
        <f>Budgeting!B18</f>
        <v>Savings 5</v>
      </c>
      <c r="E17" s="162"/>
      <c r="F17" s="162"/>
      <c r="G17" s="381" t="str">
        <f t="array" ref="G17">INDEX('⚙️Setup'!$D$2:$F$2, MAX(IF('⚙️Setup'!$D$3:$F$25=D17, COLUMN('⚙️Setup'!$D$3:$F$25)-COLUMN('⚙️Setup'!$D$3)+1)))</f>
        <v>Savings</v>
      </c>
      <c r="H17" s="380" t="str">
        <f t="shared" si="3"/>
        <v>Savings</v>
      </c>
      <c r="I17" s="382"/>
      <c r="J17" s="383" t="str">
        <f t="array" ref="J17">IFERROR(INDEX(Budgeting!$C$5:$N$42, MATCH(D17, Budgeting!$B$5:$B$42, 0), MATCH($K$2, Budgeting!$C$2:$N$2, 0)), 0)</f>
        <v/>
      </c>
      <c r="K17" s="384">
        <f t="shared" si="4"/>
        <v>0</v>
      </c>
      <c r="L17" s="114"/>
    </row>
    <row r="18" ht="17.25" customHeight="1">
      <c r="A18" s="377"/>
      <c r="B18" s="378" t="b">
        <v>0</v>
      </c>
      <c r="C18" s="385" t="s">
        <v>103</v>
      </c>
      <c r="D18" s="386" t="str">
        <f>Budgeting!B23</f>
        <v>Family</v>
      </c>
      <c r="E18" s="162"/>
      <c r="F18" s="162"/>
      <c r="G18" s="387" t="str">
        <f t="array" ref="G18">INDEX('⚙️Setup'!$D$2:$F$2, MAX(IF('⚙️Setup'!$D$3:$F$25=D18, COLUMN('⚙️Setup'!$D$3:$F$25)-COLUMN('⚙️Setup'!$D$3)+1)))</f>
        <v>Needs</v>
      </c>
      <c r="H18" s="386" t="str">
        <f t="shared" si="3"/>
        <v>Needs</v>
      </c>
      <c r="I18" s="388"/>
      <c r="J18" s="383">
        <f t="array" ref="J18">IFERROR(INDEX(Budgeting!$C$5:$N$42, MATCH(D18, Budgeting!$B$5:$B$42, 0), MATCH($K$2, Budgeting!$C$2:$N$2, 0)), 0)</f>
        <v>500000</v>
      </c>
      <c r="K18" s="384">
        <f t="shared" si="4"/>
        <v>0.07201497912</v>
      </c>
      <c r="L18" s="114"/>
    </row>
    <row r="19" ht="17.25" customHeight="1">
      <c r="A19" s="377"/>
      <c r="B19" s="378" t="b">
        <v>0</v>
      </c>
      <c r="C19" s="379" t="s">
        <v>103</v>
      </c>
      <c r="D19" s="386" t="str">
        <f>Budgeting!B24</f>
        <v>Utilities</v>
      </c>
      <c r="E19" s="162"/>
      <c r="F19" s="162"/>
      <c r="G19" s="387" t="str">
        <f t="array" ref="G19">INDEX('⚙️Setup'!$D$2:$F$2, MAX(IF('⚙️Setup'!$D$3:$F$25=D19, COLUMN('⚙️Setup'!$D$3:$F$25)-COLUMN('⚙️Setup'!$D$3)+1)))</f>
        <v>Needs</v>
      </c>
      <c r="H19" s="386" t="str">
        <f t="shared" si="3"/>
        <v>Needs</v>
      </c>
      <c r="I19" s="382"/>
      <c r="J19" s="383">
        <f t="array" ref="J19">IFERROR(INDEX(Budgeting!$C$5:$N$42, MATCH(D19, Budgeting!$B$5:$B$42, 0), MATCH($K$2, Budgeting!$C$2:$N$2, 0)), 0)</f>
        <v>500000</v>
      </c>
      <c r="K19" s="384">
        <f t="shared" si="4"/>
        <v>0.07201497912</v>
      </c>
      <c r="L19" s="114"/>
    </row>
    <row r="20" ht="17.25" customHeight="1">
      <c r="A20" s="377"/>
      <c r="B20" s="378" t="b">
        <v>0</v>
      </c>
      <c r="C20" s="379" t="s">
        <v>103</v>
      </c>
      <c r="D20" s="386" t="str">
        <f>Budgeting!B25</f>
        <v>Food</v>
      </c>
      <c r="E20" s="162"/>
      <c r="F20" s="162"/>
      <c r="G20" s="387" t="str">
        <f t="array" ref="G20">INDEX('⚙️Setup'!$D$2:$F$2, MAX(IF('⚙️Setup'!$D$3:$F$25=D20, COLUMN('⚙️Setup'!$D$3:$F$25)-COLUMN('⚙️Setup'!$D$3)+1)))</f>
        <v>Needs</v>
      </c>
      <c r="H20" s="386" t="str">
        <f t="shared" si="3"/>
        <v>Needs</v>
      </c>
      <c r="I20" s="382"/>
      <c r="J20" s="383">
        <f t="array" ref="J20">IFERROR(INDEX(Budgeting!$C$5:$N$42, MATCH(D20, Budgeting!$B$5:$B$42, 0), MATCH($K$2, Budgeting!$C$2:$N$2, 0)), 0)+ N("AndBV3")</f>
        <v>600000</v>
      </c>
      <c r="K20" s="384">
        <f t="shared" si="4"/>
        <v>0.08641797494</v>
      </c>
      <c r="L20" s="114"/>
    </row>
    <row r="21" ht="17.25" customHeight="1">
      <c r="A21" s="114"/>
      <c r="B21" s="378" t="b">
        <v>0</v>
      </c>
      <c r="C21" s="379" t="s">
        <v>103</v>
      </c>
      <c r="D21" s="386" t="str">
        <f>Budgeting!B26</f>
        <v>Supplies</v>
      </c>
      <c r="E21" s="162"/>
      <c r="F21" s="162"/>
      <c r="G21" s="387" t="str">
        <f t="array" ref="G21">INDEX('⚙️Setup'!$D$2:$F$2, MAX(IF('⚙️Setup'!$D$3:$F$25=D21, COLUMN('⚙️Setup'!$D$3:$F$25)-COLUMN('⚙️Setup'!$D$3)+1)))</f>
        <v>Needs</v>
      </c>
      <c r="H21" s="386" t="str">
        <f t="shared" si="3"/>
        <v>Needs</v>
      </c>
      <c r="I21" s="382"/>
      <c r="J21" s="383">
        <f t="array" ref="J21">IFERROR(INDEX(Budgeting!$C$5:$N$42, MATCH(D21, Budgeting!$B$5:$B$42, 0), MATCH($K$2, Budgeting!$C$2:$N$2, 0)), 0)</f>
        <v>500000</v>
      </c>
      <c r="K21" s="384">
        <f t="shared" si="4"/>
        <v>0.07201497912</v>
      </c>
      <c r="L21" s="114"/>
    </row>
    <row r="22" ht="17.25" customHeight="1">
      <c r="A22" s="114"/>
      <c r="B22" s="378" t="b">
        <v>0</v>
      </c>
      <c r="C22" s="379" t="s">
        <v>103</v>
      </c>
      <c r="D22" s="386" t="str">
        <f>Budgeting!B27</f>
        <v>Transportation</v>
      </c>
      <c r="E22" s="162"/>
      <c r="F22" s="162"/>
      <c r="G22" s="387" t="str">
        <f t="array" ref="G22">INDEX('⚙️Setup'!$D$2:$F$2, MAX(IF('⚙️Setup'!$D$3:$F$25=D22, COLUMN('⚙️Setup'!$D$3:$F$25)-COLUMN('⚙️Setup'!$D$3)+1)))</f>
        <v>Needs</v>
      </c>
      <c r="H22" s="386" t="str">
        <f t="shared" si="3"/>
        <v>Needs</v>
      </c>
      <c r="I22" s="382"/>
      <c r="J22" s="383">
        <f t="array" ref="J22">IFERROR(INDEX(Budgeting!$C$5:$N$42, MATCH(D22, Budgeting!$B$5:$B$42, 0), MATCH($K$2, Budgeting!$C$2:$N$2, 0)), 0)</f>
        <v>400000</v>
      </c>
      <c r="K22" s="384">
        <f t="shared" si="4"/>
        <v>0.05761198329</v>
      </c>
      <c r="L22" s="114"/>
    </row>
    <row r="23" ht="17.25" customHeight="1">
      <c r="A23" s="114"/>
      <c r="B23" s="378" t="b">
        <v>0</v>
      </c>
      <c r="C23" s="379" t="s">
        <v>103</v>
      </c>
      <c r="D23" s="386" t="str">
        <f>Budgeting!B28</f>
        <v>Healthcare</v>
      </c>
      <c r="E23" s="162"/>
      <c r="F23" s="162"/>
      <c r="G23" s="387" t="str">
        <f t="array" ref="G23">INDEX('⚙️Setup'!$D$2:$F$2, MAX(IF('⚙️Setup'!$D$3:$F$25=D23, COLUMN('⚙️Setup'!$D$3:$F$25)-COLUMN('⚙️Setup'!$D$3)+1)))</f>
        <v>Needs</v>
      </c>
      <c r="H23" s="386" t="str">
        <f t="shared" si="3"/>
        <v>Needs</v>
      </c>
      <c r="I23" s="382"/>
      <c r="J23" s="383">
        <f t="array" ref="J23">IFERROR(INDEX(Budgeting!$C$5:$N$42, MATCH(D23, Budgeting!$B$5:$B$42, 0), MATCH($K$2, Budgeting!$C$2:$N$2, 0)), 0)</f>
        <v>200000</v>
      </c>
      <c r="K23" s="384">
        <f t="shared" si="4"/>
        <v>0.02880599165</v>
      </c>
      <c r="L23" s="114"/>
    </row>
    <row r="24" ht="17.25" customHeight="1">
      <c r="A24" s="377"/>
      <c r="B24" s="378" t="b">
        <v>0</v>
      </c>
      <c r="C24" s="379" t="s">
        <v>85</v>
      </c>
      <c r="D24" s="386" t="str">
        <f>Budgeting!B29</f>
        <v>Debt</v>
      </c>
      <c r="E24" s="162"/>
      <c r="F24" s="162"/>
      <c r="G24" s="387" t="str">
        <f t="array" ref="G24">INDEX('⚙️Setup'!$D$2:$F$2, MAX(IF('⚙️Setup'!$D$3:$F$25=D24, COLUMN('⚙️Setup'!$D$3:$F$25)-COLUMN('⚙️Setup'!$D$3)+1)))</f>
        <v>Needs</v>
      </c>
      <c r="H24" s="386" t="str">
        <f t="shared" si="3"/>
        <v>Needs</v>
      </c>
      <c r="I24" s="382"/>
      <c r="J24" s="383">
        <f t="array" ref="J24">IFERROR(INDEX(Budgeting!$C$5:$N$42, MATCH(D24, Budgeting!$B$5:$B$42, 0), MATCH($K$2, Budgeting!$C$2:$N$2, 0)), 0)</f>
        <v>0</v>
      </c>
      <c r="K24" s="384">
        <f t="shared" si="4"/>
        <v>0</v>
      </c>
      <c r="L24" s="114"/>
    </row>
    <row r="25" ht="17.25" customHeight="1">
      <c r="A25" s="377"/>
      <c r="B25" s="378" t="b">
        <v>0</v>
      </c>
      <c r="C25" s="379" t="s">
        <v>85</v>
      </c>
      <c r="D25" s="386" t="str">
        <f>Budgeting!B30</f>
        <v>Needs 8</v>
      </c>
      <c r="E25" s="162"/>
      <c r="F25" s="162"/>
      <c r="G25" s="387" t="str">
        <f t="array" ref="G25">INDEX('⚙️Setup'!$D$2:$F$2, MAX(IF('⚙️Setup'!$D$3:$F$25=D25, COLUMN('⚙️Setup'!$D$3:$F$25)-COLUMN('⚙️Setup'!$D$3)+1)))</f>
        <v>Needs</v>
      </c>
      <c r="H25" s="386" t="str">
        <f t="shared" si="3"/>
        <v>Needs</v>
      </c>
      <c r="I25" s="382"/>
      <c r="J25" s="383" t="str">
        <f t="array" ref="J25">IFERROR(INDEX(Budgeting!$C$5:$N$42, MATCH(D25, Budgeting!$B$5:$B$42, 0), MATCH($K$2, Budgeting!$C$2:$N$2, 0)), 0)</f>
        <v/>
      </c>
      <c r="K25" s="384">
        <f t="shared" si="4"/>
        <v>0</v>
      </c>
      <c r="L25" s="114"/>
    </row>
    <row r="26" ht="17.25" customHeight="1">
      <c r="A26" s="114"/>
      <c r="B26" s="378" t="b">
        <v>0</v>
      </c>
      <c r="C26" s="379" t="s">
        <v>103</v>
      </c>
      <c r="D26" s="386" t="str">
        <f>Budgeting!B31</f>
        <v>Needs 9</v>
      </c>
      <c r="E26" s="162"/>
      <c r="F26" s="162"/>
      <c r="G26" s="387" t="str">
        <f t="array" ref="G26">INDEX('⚙️Setup'!$D$2:$F$2, MAX(IF('⚙️Setup'!$D$3:$F$25=D26, COLUMN('⚙️Setup'!$D$3:$F$25)-COLUMN('⚙️Setup'!$D$3)+1)))</f>
        <v>Needs</v>
      </c>
      <c r="H26" s="386" t="str">
        <f t="shared" si="3"/>
        <v>Needs</v>
      </c>
      <c r="I26" s="382"/>
      <c r="J26" s="383" t="str">
        <f t="array" ref="J26">IFERROR(INDEX(Budgeting!$C$5:$N$42, MATCH(D26, Budgeting!$B$5:$B$42, 0), MATCH($K$2, Budgeting!$C$2:$N$2, 0)), 0)</f>
        <v/>
      </c>
      <c r="K26" s="384">
        <f t="shared" si="4"/>
        <v>0</v>
      </c>
      <c r="L26" s="114"/>
    </row>
    <row r="27" ht="17.25" customHeight="1">
      <c r="A27" s="114"/>
      <c r="B27" s="378" t="b">
        <v>0</v>
      </c>
      <c r="C27" s="379" t="s">
        <v>85</v>
      </c>
      <c r="D27" s="386" t="str">
        <f>Budgeting!B32</f>
        <v>Needs 10</v>
      </c>
      <c r="E27" s="162"/>
      <c r="F27" s="162"/>
      <c r="G27" s="387" t="str">
        <f t="array" ref="G27">INDEX('⚙️Setup'!$D$2:$F$2, MAX(IF('⚙️Setup'!$D$3:$F$25=D27, COLUMN('⚙️Setup'!$D$3:$F$25)-COLUMN('⚙️Setup'!$D$3)+1)))</f>
        <v>Needs</v>
      </c>
      <c r="H27" s="386" t="str">
        <f t="shared" si="3"/>
        <v>Needs</v>
      </c>
      <c r="I27" s="382"/>
      <c r="J27" s="383" t="str">
        <f t="array" ref="J27">IFERROR(INDEX(Budgeting!$C$5:$N$42, MATCH(D27, Budgeting!$B$5:$B$42, 0), MATCH($K$2, Budgeting!$C$2:$N$2, 0)), 0)</f>
        <v/>
      </c>
      <c r="K27" s="384">
        <f t="shared" si="4"/>
        <v>0</v>
      </c>
      <c r="L27" s="114"/>
    </row>
    <row r="28" ht="17.25" customHeight="1">
      <c r="A28" s="114"/>
      <c r="B28" s="378" t="b">
        <v>0</v>
      </c>
      <c r="C28" s="379" t="s">
        <v>103</v>
      </c>
      <c r="D28" s="386" t="str">
        <f>Budgeting!B33</f>
        <v>Shopping</v>
      </c>
      <c r="E28" s="162"/>
      <c r="F28" s="162"/>
      <c r="G28" s="387" t="str">
        <f t="array" ref="G28">INDEX('⚙️Setup'!$D$2:$F$2, MAX(IF('⚙️Setup'!$D$3:$F$25=D28, COLUMN('⚙️Setup'!$D$3:$F$25)-COLUMN('⚙️Setup'!$D$3)+1)))</f>
        <v>Wants</v>
      </c>
      <c r="H28" s="386" t="str">
        <f t="shared" si="3"/>
        <v>Wants</v>
      </c>
      <c r="I28" s="382"/>
      <c r="J28" s="383">
        <f t="array" ref="J28">IFERROR(INDEX(Budgeting!$C$5:$N$42, MATCH(D28, Budgeting!$B$5:$B$42, 0), MATCH($K$2, Budgeting!$C$2:$N$2, 0)), 0)</f>
        <v>200000</v>
      </c>
      <c r="K28" s="384">
        <f t="shared" si="4"/>
        <v>0.02880599165</v>
      </c>
      <c r="L28" s="114"/>
    </row>
    <row r="29" ht="17.25" customHeight="1">
      <c r="A29" s="114"/>
      <c r="B29" s="378" t="b">
        <v>0</v>
      </c>
      <c r="C29" s="379" t="s">
        <v>103</v>
      </c>
      <c r="D29" s="386" t="str">
        <f>Budgeting!B34</f>
        <v>Entertaiment</v>
      </c>
      <c r="E29" s="162"/>
      <c r="F29" s="162"/>
      <c r="G29" s="387" t="str">
        <f t="array" ref="G29">INDEX('⚙️Setup'!$D$2:$F$2, MAX(IF('⚙️Setup'!$D$3:$F$25=D29, COLUMN('⚙️Setup'!$D$3:$F$25)-COLUMN('⚙️Setup'!$D$3)+1)))</f>
        <v>Wants</v>
      </c>
      <c r="H29" s="386" t="str">
        <f t="shared" si="3"/>
        <v>Wants</v>
      </c>
      <c r="I29" s="382"/>
      <c r="J29" s="383">
        <f t="array" ref="J29">IFERROR(INDEX(Budgeting!$C$5:$N$42, MATCH(D29, Budgeting!$B$5:$B$42, 0), MATCH($K$2, Budgeting!$C$2:$N$2, 0)), 0)</f>
        <v>200000</v>
      </c>
      <c r="K29" s="384">
        <f t="shared" si="4"/>
        <v>0.02880599165</v>
      </c>
      <c r="L29" s="114"/>
    </row>
    <row r="30" ht="17.25" customHeight="1">
      <c r="A30" s="114"/>
      <c r="B30" s="378" t="b">
        <v>0</v>
      </c>
      <c r="C30" s="379" t="s">
        <v>85</v>
      </c>
      <c r="D30" s="386" t="str">
        <f>Budgeting!B35</f>
        <v>Gifts</v>
      </c>
      <c r="E30" s="162"/>
      <c r="F30" s="162"/>
      <c r="G30" s="387" t="str">
        <f t="array" ref="G30">INDEX('⚙️Setup'!$D$2:$F$2, MAX(IF('⚙️Setup'!$D$3:$F$25=D30, COLUMN('⚙️Setup'!$D$3:$F$25)-COLUMN('⚙️Setup'!$D$3)+1)))</f>
        <v>Wants</v>
      </c>
      <c r="H30" s="386" t="str">
        <f t="shared" si="3"/>
        <v>Wants</v>
      </c>
      <c r="I30" s="382"/>
      <c r="J30" s="383">
        <f t="array" ref="J30">IFERROR(INDEX(Budgeting!$C$5:$N$42, MATCH(D30, Budgeting!$B$5:$B$42, 0), MATCH($K$2, Budgeting!$C$2:$N$2, 0)), 0)</f>
        <v>150000</v>
      </c>
      <c r="K30" s="384">
        <f t="shared" si="4"/>
        <v>0.02160449373</v>
      </c>
      <c r="L30" s="114"/>
    </row>
    <row r="31" ht="17.25" customHeight="1">
      <c r="A31" s="114"/>
      <c r="B31" s="378" t="b">
        <v>0</v>
      </c>
      <c r="C31" s="379" t="s">
        <v>83</v>
      </c>
      <c r="D31" s="386" t="str">
        <f>Budgeting!B36</f>
        <v>Travel	</v>
      </c>
      <c r="E31" s="162"/>
      <c r="F31" s="162"/>
      <c r="G31" s="387" t="str">
        <f t="array" ref="G31">INDEX('⚙️Setup'!$D$2:$F$2, MAX(IF('⚙️Setup'!$D$3:$F$25=D31, COLUMN('⚙️Setup'!$D$3:$F$25)-COLUMN('⚙️Setup'!$D$3)+1)))</f>
        <v>Wants</v>
      </c>
      <c r="H31" s="386" t="str">
        <f t="shared" si="3"/>
        <v>Wants</v>
      </c>
      <c r="I31" s="382"/>
      <c r="J31" s="383" t="str">
        <f t="array" ref="J31">IFERROR(INDEX(Budgeting!$C$5:$N$42, MATCH(D31, Budgeting!$B$5:$B$42, 0), MATCH($K$2, Budgeting!$C$2:$N$2, 0)), 0)</f>
        <v/>
      </c>
      <c r="K31" s="384">
        <f t="shared" si="4"/>
        <v>0</v>
      </c>
      <c r="L31" s="114"/>
    </row>
    <row r="32" ht="17.25" customHeight="1">
      <c r="A32" s="114"/>
      <c r="B32" s="378" t="b">
        <v>0</v>
      </c>
      <c r="C32" s="379" t="s">
        <v>103</v>
      </c>
      <c r="D32" s="386" t="str">
        <f>Budgeting!B37</f>
        <v>Wants 5</v>
      </c>
      <c r="E32" s="162"/>
      <c r="F32" s="162"/>
      <c r="G32" s="387" t="str">
        <f t="array" ref="G32">INDEX('⚙️Setup'!$D$2:$F$2, MAX(IF('⚙️Setup'!$D$3:$F$25=D32, COLUMN('⚙️Setup'!$D$3:$F$25)-COLUMN('⚙️Setup'!$D$3)+1)))</f>
        <v>Wants</v>
      </c>
      <c r="H32" s="386" t="str">
        <f t="shared" si="3"/>
        <v>Wants</v>
      </c>
      <c r="I32" s="382"/>
      <c r="J32" s="383" t="str">
        <f t="array" ref="J32">IFERROR(INDEX(Budgeting!$C$5:$N$42, MATCH(D32, Budgeting!$B$5:$B$42, 0), MATCH($K$2, Budgeting!$C$2:$N$2, 0)), 0)</f>
        <v/>
      </c>
      <c r="K32" s="384">
        <f t="shared" si="4"/>
        <v>0</v>
      </c>
      <c r="L32" s="114"/>
    </row>
    <row r="33" ht="17.25" customHeight="1">
      <c r="A33" s="114"/>
      <c r="B33" s="378" t="b">
        <v>0</v>
      </c>
      <c r="C33" s="379" t="s">
        <v>85</v>
      </c>
      <c r="D33" s="386" t="str">
        <f>Budgeting!B38</f>
        <v>Wants 6</v>
      </c>
      <c r="E33" s="162"/>
      <c r="F33" s="162"/>
      <c r="G33" s="387" t="str">
        <f t="array" ref="G33">INDEX('⚙️Setup'!$D$2:$F$2, MAX(IF('⚙️Setup'!$D$3:$F$25=D33, COLUMN('⚙️Setup'!$D$3:$F$25)-COLUMN('⚙️Setup'!$D$3)+1)))</f>
        <v>Wants</v>
      </c>
      <c r="H33" s="386" t="str">
        <f t="shared" si="3"/>
        <v>Wants</v>
      </c>
      <c r="I33" s="382"/>
      <c r="J33" s="383" t="str">
        <f t="array" ref="J33">IFERROR(INDEX(Budgeting!$C$5:$N$42, MATCH(D33, Budgeting!$B$5:$B$42, 0), MATCH($K$2, Budgeting!$C$2:$N$2, 0)), 0)</f>
        <v/>
      </c>
      <c r="K33" s="384">
        <f t="shared" si="4"/>
        <v>0</v>
      </c>
      <c r="L33" s="114"/>
    </row>
    <row r="34" ht="17.25" customHeight="1">
      <c r="A34" s="114"/>
      <c r="B34" s="378" t="b">
        <v>0</v>
      </c>
      <c r="C34" s="379" t="s">
        <v>85</v>
      </c>
      <c r="D34" s="386" t="str">
        <f>Budgeting!B39</f>
        <v>Wants 7</v>
      </c>
      <c r="E34" s="162"/>
      <c r="F34" s="162"/>
      <c r="G34" s="387" t="str">
        <f t="array" ref="G34">INDEX('⚙️Setup'!$D$2:$F$2, MAX(IF('⚙️Setup'!$D$3:$F$25=D34, COLUMN('⚙️Setup'!$D$3:$F$25)-COLUMN('⚙️Setup'!$D$3)+1)))</f>
        <v>Wants</v>
      </c>
      <c r="H34" s="386" t="str">
        <f t="shared" si="3"/>
        <v>Wants</v>
      </c>
      <c r="I34" s="382"/>
      <c r="J34" s="383" t="str">
        <f t="array" ref="J34">IFERROR(INDEX(Budgeting!$C$5:$N$42, MATCH(D34, Budgeting!$B$5:$B$42, 0), MATCH($K$2, Budgeting!$C$2:$N$2, 0)), 0)</f>
        <v/>
      </c>
      <c r="K34" s="384">
        <f t="shared" si="4"/>
        <v>0</v>
      </c>
      <c r="L34" s="114"/>
    </row>
    <row r="35" ht="17.25" customHeight="1">
      <c r="A35" s="114"/>
      <c r="B35" s="378" t="b">
        <v>0</v>
      </c>
      <c r="C35" s="379" t="s">
        <v>103</v>
      </c>
      <c r="D35" s="386" t="str">
        <f>Budgeting!B40</f>
        <v>Wants 8</v>
      </c>
      <c r="E35" s="162"/>
      <c r="F35" s="162"/>
      <c r="G35" s="387" t="str">
        <f t="array" ref="G35">INDEX('⚙️Setup'!$D$2:$F$2, MAX(IF('⚙️Setup'!$D$3:$F$25=D35, COLUMN('⚙️Setup'!$D$3:$F$25)-COLUMN('⚙️Setup'!$D$3)+1)))</f>
        <v>Wants</v>
      </c>
      <c r="H35" s="386" t="str">
        <f t="shared" si="3"/>
        <v>Wants</v>
      </c>
      <c r="I35" s="382"/>
      <c r="J35" s="383" t="str">
        <f t="array" ref="J35">IFERROR(INDEX(Budgeting!$C$5:$N$42, MATCH(D35, Budgeting!$B$5:$B$42, 0), MATCH($K$2, Budgeting!$C$2:$N$2, 0)), 0)</f>
        <v/>
      </c>
      <c r="K35" s="384">
        <f t="shared" si="4"/>
        <v>0</v>
      </c>
      <c r="L35" s="114"/>
    </row>
    <row r="36" ht="17.25" customHeight="1">
      <c r="A36" s="114"/>
      <c r="B36" s="378" t="b">
        <v>0</v>
      </c>
      <c r="C36" s="379" t="s">
        <v>103</v>
      </c>
      <c r="D36" s="386" t="str">
        <f>Budgeting!B41</f>
        <v>Wants 9</v>
      </c>
      <c r="E36" s="162"/>
      <c r="F36" s="162"/>
      <c r="G36" s="387" t="str">
        <f t="array" ref="G36">INDEX('⚙️Setup'!$D$2:$F$2, MAX(IF('⚙️Setup'!$D$3:$F$25=D36, COLUMN('⚙️Setup'!$D$3:$F$25)-COLUMN('⚙️Setup'!$D$3)+1)))</f>
        <v>Wants</v>
      </c>
      <c r="H36" s="386" t="str">
        <f t="shared" si="3"/>
        <v>Wants</v>
      </c>
      <c r="I36" s="382"/>
      <c r="J36" s="383" t="str">
        <f t="array" ref="J36">IFERROR(INDEX(Budgeting!$C$5:$N$42, MATCH(D36, Budgeting!$B$5:$B$42, 0), MATCH($K$2, Budgeting!$C$2:$N$2, 0)), 0)</f>
        <v/>
      </c>
      <c r="K36" s="384">
        <f t="shared" si="4"/>
        <v>0</v>
      </c>
      <c r="L36" s="114"/>
    </row>
    <row r="37" ht="16.5" customHeight="1">
      <c r="A37" s="389"/>
      <c r="B37" s="389"/>
      <c r="C37" s="271"/>
      <c r="D37" s="271"/>
      <c r="G37" s="390"/>
      <c r="H37" s="391"/>
      <c r="I37" s="391"/>
      <c r="J37" s="392"/>
      <c r="K37" s="391"/>
      <c r="L37" s="389"/>
    </row>
    <row r="38" ht="18.75" customHeight="1">
      <c r="A38" s="62"/>
      <c r="B38" s="62"/>
      <c r="C38" s="1"/>
      <c r="D38" s="1"/>
      <c r="G38" s="393"/>
      <c r="H38" s="394"/>
      <c r="I38" s="394"/>
      <c r="J38" s="394"/>
      <c r="K38" s="1"/>
      <c r="L38" s="62"/>
    </row>
    <row r="39" ht="21.0" customHeight="1">
      <c r="A39" s="62"/>
      <c r="B39" s="395"/>
      <c r="G39" s="396"/>
      <c r="H39" s="397"/>
      <c r="I39" s="397"/>
      <c r="J39" s="397"/>
      <c r="K39" s="397"/>
      <c r="L39" s="62"/>
    </row>
    <row r="40" ht="21.0" customHeight="1">
      <c r="A40" s="62"/>
      <c r="G40" s="396"/>
      <c r="H40" s="395"/>
      <c r="L40" s="62"/>
    </row>
    <row r="41" ht="21.0" customHeight="1">
      <c r="A41" s="62"/>
      <c r="G41" s="396"/>
      <c r="L41" s="62"/>
    </row>
    <row r="42" ht="21.0" customHeight="1">
      <c r="A42" s="62"/>
      <c r="G42" s="396"/>
      <c r="L42" s="62"/>
    </row>
    <row r="43" ht="21.0" customHeight="1">
      <c r="A43" s="62"/>
      <c r="G43" s="396"/>
      <c r="L43" s="62"/>
    </row>
    <row r="44" ht="21.0" customHeight="1">
      <c r="A44" s="62"/>
      <c r="G44" s="396"/>
      <c r="L44" s="62"/>
    </row>
    <row r="45" ht="21.0" customHeight="1">
      <c r="A45" s="62"/>
      <c r="G45" s="396"/>
      <c r="L45" s="62"/>
    </row>
    <row r="46" ht="21.0" customHeight="1">
      <c r="A46" s="62"/>
      <c r="G46" s="396"/>
      <c r="L46" s="62"/>
    </row>
    <row r="47" ht="21.0" customHeight="1">
      <c r="A47" s="62"/>
      <c r="G47" s="396"/>
      <c r="L47" s="62"/>
    </row>
    <row r="48" ht="21.0" customHeight="1">
      <c r="A48" s="62"/>
      <c r="G48" s="396"/>
      <c r="L48" s="62"/>
    </row>
    <row r="49" ht="21.0" customHeight="1">
      <c r="A49" s="62"/>
      <c r="B49" s="397"/>
      <c r="C49" s="397"/>
      <c r="D49" s="397"/>
      <c r="G49" s="398"/>
      <c r="L49" s="62"/>
    </row>
    <row r="50" ht="16.5" customHeight="1">
      <c r="A50" s="62"/>
      <c r="B50" s="397"/>
      <c r="C50" s="397"/>
      <c r="D50" s="399"/>
      <c r="E50" s="397"/>
      <c r="F50" s="397"/>
      <c r="G50" s="398"/>
      <c r="H50" s="397"/>
      <c r="I50" s="397"/>
      <c r="J50" s="397"/>
      <c r="K50" s="397"/>
      <c r="L50" s="62"/>
    </row>
    <row r="51" ht="16.5" customHeight="1">
      <c r="B51" s="400"/>
      <c r="C51" s="397"/>
      <c r="D51" s="401"/>
      <c r="E51" s="360"/>
      <c r="F51" s="397"/>
      <c r="G51" s="398"/>
      <c r="H51" s="397"/>
      <c r="I51" s="397"/>
      <c r="J51" s="397"/>
      <c r="K51" s="397"/>
      <c r="L51" s="62"/>
    </row>
  </sheetData>
  <mergeCells count="42">
    <mergeCell ref="B2:C2"/>
    <mergeCell ref="F2:H2"/>
    <mergeCell ref="H3:I3"/>
    <mergeCell ref="B4:K4"/>
    <mergeCell ref="B6:C6"/>
    <mergeCell ref="B7:C7"/>
    <mergeCell ref="B8:C8"/>
    <mergeCell ref="B10:C11"/>
    <mergeCell ref="D10:F11"/>
    <mergeCell ref="H10:H11"/>
    <mergeCell ref="J10:J11"/>
    <mergeCell ref="K10:K11"/>
    <mergeCell ref="D13:F13"/>
    <mergeCell ref="D14:F14"/>
    <mergeCell ref="D15:F15"/>
    <mergeCell ref="D16:F16"/>
    <mergeCell ref="D17:F17"/>
    <mergeCell ref="D18:F18"/>
    <mergeCell ref="D19:F19"/>
    <mergeCell ref="D20:F20"/>
    <mergeCell ref="D21:F21"/>
    <mergeCell ref="D22:F22"/>
    <mergeCell ref="D23:F23"/>
    <mergeCell ref="D24:F24"/>
    <mergeCell ref="D25:F25"/>
    <mergeCell ref="D26:F26"/>
    <mergeCell ref="D27:F27"/>
    <mergeCell ref="D28:F28"/>
    <mergeCell ref="D36:F36"/>
    <mergeCell ref="D37:F37"/>
    <mergeCell ref="D38:F38"/>
    <mergeCell ref="B39:F48"/>
    <mergeCell ref="H40:K49"/>
    <mergeCell ref="D49:F49"/>
    <mergeCell ref="D51:E51"/>
    <mergeCell ref="D29:F29"/>
    <mergeCell ref="D30:F30"/>
    <mergeCell ref="D31:F31"/>
    <mergeCell ref="D32:F32"/>
    <mergeCell ref="D33:F33"/>
    <mergeCell ref="D34:F34"/>
    <mergeCell ref="D35:F35"/>
  </mergeCells>
  <conditionalFormatting sqref="C13:K36">
    <cfRule type="expression" dxfId="16" priority="1">
      <formula>$B13=TRUE</formula>
    </cfRule>
  </conditionalFormatting>
  <conditionalFormatting sqref="K8">
    <cfRule type="cellIs" dxfId="17" priority="2" operator="lessThan">
      <formula>"80%"</formula>
    </cfRule>
  </conditionalFormatting>
  <conditionalFormatting sqref="K8">
    <cfRule type="cellIs" dxfId="18" priority="3" operator="lessThanOrEqual">
      <formula>"100%"</formula>
    </cfRule>
  </conditionalFormatting>
  <conditionalFormatting sqref="K8">
    <cfRule type="cellIs" dxfId="19" priority="4" operator="greaterThan">
      <formula>"100%"</formula>
    </cfRule>
  </conditionalFormatting>
  <conditionalFormatting sqref="B1:B5 F6:G8 B9:B50">
    <cfRule type="cellIs" dxfId="15" priority="5" operator="equal">
      <formula>"TRUE"</formula>
    </cfRule>
  </conditionalFormatting>
  <conditionalFormatting sqref="C13:C36">
    <cfRule type="cellIs" dxfId="20" priority="6" operator="equal">
      <formula>"Blu"</formula>
    </cfRule>
  </conditionalFormatting>
  <conditionalFormatting sqref="C13:C36">
    <cfRule type="cellIs" dxfId="21" priority="7" operator="equal">
      <formula>"Jago"</formula>
    </cfRule>
  </conditionalFormatting>
  <conditionalFormatting sqref="C13:C36">
    <cfRule type="cellIs" dxfId="22" priority="8" operator="equal">
      <formula>"BCA"</formula>
    </cfRule>
  </conditionalFormatting>
  <conditionalFormatting sqref="K13:K36">
    <cfRule type="colorScale" priority="9">
      <colorScale>
        <cfvo type="min"/>
        <cfvo type="max"/>
        <color rgb="FFFFFFFF"/>
        <color rgb="FFFAF3DD"/>
      </colorScale>
    </cfRule>
  </conditionalFormatting>
  <conditionalFormatting sqref="B6:C8">
    <cfRule type="containsText" dxfId="5" priority="10" operator="containsText" text="BCA">
      <formula>NOT(ISERROR(SEARCH(("BCA"),(B6))))</formula>
    </cfRule>
  </conditionalFormatting>
  <conditionalFormatting sqref="B6:C8">
    <cfRule type="containsText" dxfId="6" priority="11" operator="containsText" text="blu">
      <formula>NOT(ISERROR(SEARCH(("blu"),(B6))))</formula>
    </cfRule>
  </conditionalFormatting>
  <conditionalFormatting sqref="B6:C8">
    <cfRule type="containsText" dxfId="7" priority="12" operator="containsText" text="jago">
      <formula>NOT(ISERROR(SEARCH(("jago"),(B6))))</formula>
    </cfRule>
  </conditionalFormatting>
  <conditionalFormatting sqref="B6:C8">
    <cfRule type="containsText" dxfId="8" priority="13" operator="containsText" text="BNI">
      <formula>NOT(ISERROR(SEARCH(("BNI"),(B6))))</formula>
    </cfRule>
  </conditionalFormatting>
  <conditionalFormatting sqref="B6:C8">
    <cfRule type="containsText" dxfId="10" priority="14" operator="containsText" text="BRI">
      <formula>NOT(ISERROR(SEARCH(("BRI"),(B6))))</formula>
    </cfRule>
  </conditionalFormatting>
  <conditionalFormatting sqref="B6:C8">
    <cfRule type="containsText" dxfId="9" priority="15" operator="containsText" text="Mandiri">
      <formula>NOT(ISERROR(SEARCH(("Mandiri"),(B6))))</formula>
    </cfRule>
  </conditionalFormatting>
  <conditionalFormatting sqref="C13:C36">
    <cfRule type="cellIs" dxfId="23" priority="16" operator="equal">
      <formula>"BNI"</formula>
    </cfRule>
  </conditionalFormatting>
  <conditionalFormatting sqref="C13:C36">
    <cfRule type="cellIs" dxfId="24" priority="17" operator="equal">
      <formula>"BRI"</formula>
    </cfRule>
  </conditionalFormatting>
  <conditionalFormatting sqref="C13:C36">
    <cfRule type="cellIs" dxfId="25" priority="18" operator="equal">
      <formula>"Mandiri"</formula>
    </cfRule>
  </conditionalFormatting>
  <dataValidations>
    <dataValidation type="list" allowBlank="1" showErrorMessage="1" sqref="K2">
      <formula1>'⚙️Setup'!$H$3:$H$14</formula1>
    </dataValidation>
    <dataValidation type="list" allowBlank="1" showErrorMessage="1" sqref="C13:C36">
      <formula1>Summary!$B$6:$C$8</formula1>
    </dataValidation>
    <dataValidation type="list" allowBlank="1" showErrorMessage="1" sqref="H13:H36">
      <formula1>Summary!$F$6:$F$8</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DD36A"/>
    <outlinePr summaryBelow="0" summaryRight="0"/>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2.0"/>
    <col customWidth="1" min="2" max="2" width="17.0"/>
    <col customWidth="1" min="3" max="14" width="15.75"/>
    <col customWidth="1" min="15" max="15" width="2.0"/>
  </cols>
  <sheetData>
    <row r="1" ht="11.25" customHeight="1">
      <c r="A1" s="4"/>
      <c r="B1" s="4"/>
      <c r="C1" s="6"/>
      <c r="D1" s="6"/>
      <c r="E1" s="6"/>
      <c r="F1" s="6"/>
      <c r="G1" s="6"/>
      <c r="H1" s="6"/>
      <c r="I1" s="6"/>
      <c r="J1" s="6"/>
      <c r="K1" s="6"/>
      <c r="L1" s="6"/>
      <c r="M1" s="6"/>
      <c r="N1" s="9"/>
      <c r="O1" s="4"/>
    </row>
    <row r="2" ht="30.0" customHeight="1">
      <c r="A2" s="10"/>
      <c r="B2" s="12" t="s">
        <v>3</v>
      </c>
      <c r="C2" s="18" t="str">
        <f>'⚙️Setup'!H3</f>
        <v>January</v>
      </c>
      <c r="D2" s="18" t="str">
        <f>'⚙️Setup'!H4</f>
        <v>February</v>
      </c>
      <c r="E2" s="18" t="str">
        <f>'⚙️Setup'!H5</f>
        <v>March</v>
      </c>
      <c r="F2" s="18" t="str">
        <f>'⚙️Setup'!H6</f>
        <v>April</v>
      </c>
      <c r="G2" s="18" t="str">
        <f>'⚙️Setup'!H7</f>
        <v>May</v>
      </c>
      <c r="H2" s="18" t="str">
        <f>'⚙️Setup'!H8</f>
        <v>June</v>
      </c>
      <c r="I2" s="18" t="str">
        <f>'⚙️Setup'!H9</f>
        <v>July</v>
      </c>
      <c r="J2" s="18" t="str">
        <f>'⚙️Setup'!H10</f>
        <v>August</v>
      </c>
      <c r="K2" s="18" t="str">
        <f>'⚙️Setup'!H11</f>
        <v>September</v>
      </c>
      <c r="L2" s="18" t="str">
        <f>'⚙️Setup'!H12</f>
        <v>October</v>
      </c>
      <c r="M2" s="18" t="str">
        <f>'⚙️Setup'!H13</f>
        <v>November</v>
      </c>
      <c r="N2" s="18" t="str">
        <f>'⚙️Setup'!H14</f>
        <v>December</v>
      </c>
      <c r="O2" s="10"/>
    </row>
    <row r="3" ht="7.5" customHeight="1">
      <c r="A3" s="4"/>
      <c r="B3" s="4"/>
      <c r="C3" s="6"/>
      <c r="D3" s="4"/>
      <c r="E3" s="4"/>
      <c r="F3" s="4"/>
      <c r="G3" s="4"/>
      <c r="H3" s="4"/>
      <c r="I3" s="4"/>
      <c r="J3" s="4"/>
      <c r="K3" s="4"/>
      <c r="L3" s="4"/>
      <c r="M3" s="4"/>
      <c r="N3" s="25"/>
      <c r="O3" s="4"/>
    </row>
    <row r="4" ht="22.5" customHeight="1">
      <c r="A4" s="26"/>
      <c r="B4" s="28" t="s">
        <v>13</v>
      </c>
      <c r="C4" s="29"/>
      <c r="D4" s="29"/>
      <c r="E4" s="29"/>
      <c r="F4" s="29"/>
      <c r="G4" s="29"/>
      <c r="H4" s="29"/>
      <c r="I4" s="29"/>
      <c r="J4" s="29"/>
      <c r="K4" s="29"/>
      <c r="L4" s="29"/>
      <c r="M4" s="29"/>
      <c r="N4" s="31"/>
      <c r="O4" s="26"/>
    </row>
    <row r="5" ht="18.75" customHeight="1">
      <c r="A5" s="4"/>
      <c r="B5" s="32" t="str">
        <f>'⚙️Setup'!C3</f>
        <v>Monthly Salary</v>
      </c>
      <c r="C5" s="33">
        <v>6593000.0</v>
      </c>
      <c r="D5" s="33"/>
      <c r="E5" s="33"/>
      <c r="F5" s="33"/>
      <c r="G5" s="33"/>
      <c r="H5" s="33"/>
      <c r="I5" s="35"/>
      <c r="J5" s="35"/>
      <c r="K5" s="35"/>
      <c r="L5" s="35"/>
      <c r="M5" s="35"/>
      <c r="N5" s="33"/>
      <c r="O5" s="4"/>
    </row>
    <row r="6" ht="18.75" customHeight="1">
      <c r="A6" s="4"/>
      <c r="B6" s="32" t="str">
        <f>'⚙️Setup'!C4</f>
        <v>Freelance Fee</v>
      </c>
      <c r="C6" s="38">
        <v>350000.0</v>
      </c>
      <c r="D6" s="33"/>
      <c r="E6" s="33"/>
      <c r="F6" s="33"/>
      <c r="G6" s="35"/>
      <c r="H6" s="33"/>
      <c r="I6" s="35"/>
      <c r="J6" s="35"/>
      <c r="K6" s="35"/>
      <c r="L6" s="35"/>
      <c r="M6" s="35"/>
      <c r="N6" s="33"/>
      <c r="O6" s="4"/>
    </row>
    <row r="7" ht="18.75" customHeight="1">
      <c r="A7" s="4"/>
      <c r="B7" s="32" t="str">
        <f>'⚙️Setup'!C5</f>
        <v>Income 3</v>
      </c>
      <c r="C7" s="33"/>
      <c r="D7" s="33"/>
      <c r="E7" s="35"/>
      <c r="F7" s="33"/>
      <c r="G7" s="35"/>
      <c r="H7" s="33"/>
      <c r="I7" s="35"/>
      <c r="J7" s="35"/>
      <c r="K7" s="35"/>
      <c r="L7" s="35"/>
      <c r="M7" s="35"/>
      <c r="N7" s="33"/>
      <c r="O7" s="4"/>
    </row>
    <row r="8" ht="18.75" customHeight="1">
      <c r="A8" s="4"/>
      <c r="B8" s="32" t="str">
        <f>'⚙️Setup'!C6</f>
        <v>Income 4</v>
      </c>
      <c r="C8" s="35"/>
      <c r="D8" s="33"/>
      <c r="E8" s="35"/>
      <c r="F8" s="35"/>
      <c r="G8" s="35"/>
      <c r="H8" s="35"/>
      <c r="I8" s="35"/>
      <c r="J8" s="35"/>
      <c r="K8" s="35"/>
      <c r="L8" s="35"/>
      <c r="M8" s="35"/>
      <c r="N8" s="35"/>
      <c r="O8" s="4"/>
    </row>
    <row r="9" ht="18.75" customHeight="1">
      <c r="A9" s="4"/>
      <c r="B9" s="32" t="str">
        <f>'⚙️Setup'!C7</f>
        <v>Income 5</v>
      </c>
      <c r="C9" s="35"/>
      <c r="D9" s="33"/>
      <c r="E9" s="35"/>
      <c r="F9" s="35"/>
      <c r="G9" s="35"/>
      <c r="H9" s="35"/>
      <c r="I9" s="35"/>
      <c r="J9" s="35"/>
      <c r="K9" s="35"/>
      <c r="L9" s="35"/>
      <c r="M9" s="35"/>
      <c r="N9" s="35"/>
      <c r="O9" s="4"/>
    </row>
    <row r="10" ht="26.25" customHeight="1">
      <c r="A10" s="46"/>
      <c r="B10" s="48" t="s">
        <v>22</v>
      </c>
      <c r="C10" s="50">
        <f t="shared" ref="C10:N10" si="1">SUM(C5:C9)</f>
        <v>6943000</v>
      </c>
      <c r="D10" s="50">
        <f t="shared" si="1"/>
        <v>0</v>
      </c>
      <c r="E10" s="50">
        <f t="shared" si="1"/>
        <v>0</v>
      </c>
      <c r="F10" s="50">
        <f t="shared" si="1"/>
        <v>0</v>
      </c>
      <c r="G10" s="50">
        <f t="shared" si="1"/>
        <v>0</v>
      </c>
      <c r="H10" s="50">
        <f t="shared" si="1"/>
        <v>0</v>
      </c>
      <c r="I10" s="50">
        <f t="shared" si="1"/>
        <v>0</v>
      </c>
      <c r="J10" s="50">
        <f t="shared" si="1"/>
        <v>0</v>
      </c>
      <c r="K10" s="50">
        <f t="shared" si="1"/>
        <v>0</v>
      </c>
      <c r="L10" s="50">
        <f t="shared" si="1"/>
        <v>0</v>
      </c>
      <c r="M10" s="50">
        <f t="shared" si="1"/>
        <v>0</v>
      </c>
      <c r="N10" s="50">
        <f t="shared" si="1"/>
        <v>0</v>
      </c>
      <c r="O10" s="46"/>
    </row>
    <row r="11" ht="7.5" customHeight="1">
      <c r="A11" s="4"/>
      <c r="B11" s="4"/>
      <c r="C11" s="6"/>
      <c r="D11" s="4"/>
      <c r="E11" s="4"/>
      <c r="F11" s="4"/>
      <c r="G11" s="4"/>
      <c r="H11" s="4"/>
      <c r="I11" s="4"/>
      <c r="J11" s="4"/>
      <c r="K11" s="4"/>
      <c r="L11" s="4"/>
      <c r="M11" s="4"/>
      <c r="N11" s="25"/>
      <c r="O11" s="4"/>
    </row>
    <row r="12" ht="22.5" customHeight="1">
      <c r="A12" s="26"/>
      <c r="B12" s="58" t="s">
        <v>27</v>
      </c>
      <c r="C12" s="59"/>
      <c r="D12" s="59"/>
      <c r="E12" s="59"/>
      <c r="F12" s="59"/>
      <c r="G12" s="59"/>
      <c r="H12" s="59"/>
      <c r="I12" s="59"/>
      <c r="J12" s="59"/>
      <c r="K12" s="59"/>
      <c r="L12" s="59"/>
      <c r="M12" s="59"/>
      <c r="N12" s="60"/>
      <c r="O12" s="26"/>
    </row>
    <row r="13" ht="18.75" customHeight="1">
      <c r="A13" s="4"/>
      <c r="B13" s="32" t="str">
        <f>'⚙️Setup'!F3</f>
        <v>General Savings</v>
      </c>
      <c r="C13" s="33">
        <v>1.0E7</v>
      </c>
      <c r="D13" s="33"/>
      <c r="E13" s="33"/>
      <c r="F13" s="33"/>
      <c r="G13" s="33"/>
      <c r="H13" s="33"/>
      <c r="I13" s="33"/>
      <c r="J13" s="33"/>
      <c r="K13" s="35"/>
      <c r="L13" s="35"/>
      <c r="M13" s="35"/>
      <c r="N13" s="33"/>
      <c r="O13" s="4"/>
    </row>
    <row r="14" ht="18.75" customHeight="1">
      <c r="A14" s="4"/>
      <c r="B14" s="32" t="str">
        <f>'⚙️Setup'!F4</f>
        <v>Emergency Funds</v>
      </c>
      <c r="C14" s="33">
        <v>5000000.0</v>
      </c>
      <c r="D14" s="33"/>
      <c r="E14" s="33"/>
      <c r="F14" s="33"/>
      <c r="G14" s="35"/>
      <c r="H14" s="33"/>
      <c r="I14" s="35"/>
      <c r="J14" s="35"/>
      <c r="K14" s="35"/>
      <c r="L14" s="35"/>
      <c r="M14" s="35"/>
      <c r="N14" s="33"/>
      <c r="O14" s="4"/>
    </row>
    <row r="15" ht="18.75" customHeight="1">
      <c r="A15" s="4"/>
      <c r="B15" s="32" t="str">
        <f>'⚙️Setup'!F5</f>
        <v>Deposits</v>
      </c>
      <c r="C15" s="33">
        <v>3.28982E8</v>
      </c>
      <c r="D15" s="33"/>
      <c r="E15" s="33"/>
      <c r="F15" s="35"/>
      <c r="G15" s="35"/>
      <c r="H15" s="33"/>
      <c r="I15" s="35"/>
      <c r="J15" s="35"/>
      <c r="K15" s="35"/>
      <c r="L15" s="35"/>
      <c r="M15" s="35"/>
      <c r="N15" s="35"/>
      <c r="O15" s="4"/>
    </row>
    <row r="16" ht="18.75" customHeight="1">
      <c r="A16" s="4"/>
      <c r="B16" s="32" t="str">
        <f>'⚙️Setup'!F6</f>
        <v>Savings 4</v>
      </c>
      <c r="C16" s="33"/>
      <c r="D16" s="33"/>
      <c r="E16" s="33"/>
      <c r="F16" s="35"/>
      <c r="G16" s="35"/>
      <c r="H16" s="35"/>
      <c r="I16" s="35"/>
      <c r="J16" s="35"/>
      <c r="K16" s="35"/>
      <c r="L16" s="35"/>
      <c r="M16" s="35"/>
      <c r="N16" s="35"/>
      <c r="O16" s="4"/>
    </row>
    <row r="17" ht="18.75" customHeight="1">
      <c r="A17" s="4"/>
      <c r="B17" s="32" t="str">
        <f>'⚙️Setup'!F6</f>
        <v>Savings 4</v>
      </c>
      <c r="C17" s="35"/>
      <c r="D17" s="35"/>
      <c r="E17" s="35"/>
      <c r="F17" s="35"/>
      <c r="G17" s="35"/>
      <c r="H17" s="35"/>
      <c r="I17" s="35"/>
      <c r="J17" s="35"/>
      <c r="K17" s="35"/>
      <c r="L17" s="35"/>
      <c r="M17" s="35"/>
      <c r="N17" s="35"/>
      <c r="O17" s="4"/>
    </row>
    <row r="18" ht="18.75" customHeight="1">
      <c r="A18" s="4"/>
      <c r="B18" s="32" t="str">
        <f>'⚙️Setup'!F7</f>
        <v>Savings 5</v>
      </c>
      <c r="C18" s="35"/>
      <c r="D18" s="35"/>
      <c r="E18" s="35"/>
      <c r="F18" s="35"/>
      <c r="G18" s="35"/>
      <c r="H18" s="35"/>
      <c r="I18" s="35"/>
      <c r="J18" s="35"/>
      <c r="K18" s="35"/>
      <c r="L18" s="35"/>
      <c r="M18" s="35"/>
      <c r="N18" s="35"/>
      <c r="O18" s="4"/>
    </row>
    <row r="19" ht="26.25" customHeight="1">
      <c r="A19" s="46"/>
      <c r="B19" s="48" t="s">
        <v>22</v>
      </c>
      <c r="C19" s="50">
        <f t="shared" ref="C19:N19" si="2">SUM(C13:C18)</f>
        <v>343982000</v>
      </c>
      <c r="D19" s="50">
        <f t="shared" si="2"/>
        <v>0</v>
      </c>
      <c r="E19" s="50">
        <f t="shared" si="2"/>
        <v>0</v>
      </c>
      <c r="F19" s="50">
        <f t="shared" si="2"/>
        <v>0</v>
      </c>
      <c r="G19" s="50">
        <f t="shared" si="2"/>
        <v>0</v>
      </c>
      <c r="H19" s="50">
        <f t="shared" si="2"/>
        <v>0</v>
      </c>
      <c r="I19" s="50">
        <f t="shared" si="2"/>
        <v>0</v>
      </c>
      <c r="J19" s="50">
        <f t="shared" si="2"/>
        <v>0</v>
      </c>
      <c r="K19" s="50">
        <f t="shared" si="2"/>
        <v>0</v>
      </c>
      <c r="L19" s="50">
        <f t="shared" si="2"/>
        <v>0</v>
      </c>
      <c r="M19" s="50">
        <f t="shared" si="2"/>
        <v>0</v>
      </c>
      <c r="N19" s="50">
        <f t="shared" si="2"/>
        <v>0</v>
      </c>
      <c r="O19" s="46"/>
    </row>
    <row r="20" ht="26.25" customHeight="1">
      <c r="A20" s="46"/>
      <c r="B20" s="76" t="s">
        <v>33</v>
      </c>
      <c r="C20" s="79">
        <f>C19</f>
        <v>343982000</v>
      </c>
      <c r="D20" s="79">
        <f t="shared" ref="D20:E20" si="3">C20+D19</f>
        <v>343982000</v>
      </c>
      <c r="E20" s="79">
        <f t="shared" si="3"/>
        <v>343982000</v>
      </c>
      <c r="F20" s="79">
        <f>E20+F19+ N("AndBV3")</f>
        <v>343982000</v>
      </c>
      <c r="G20" s="79">
        <f t="shared" ref="G20:N20" si="4">F20+G19</f>
        <v>343982000</v>
      </c>
      <c r="H20" s="79">
        <f t="shared" si="4"/>
        <v>343982000</v>
      </c>
      <c r="I20" s="79">
        <f t="shared" si="4"/>
        <v>343982000</v>
      </c>
      <c r="J20" s="79">
        <f t="shared" si="4"/>
        <v>343982000</v>
      </c>
      <c r="K20" s="79">
        <f t="shared" si="4"/>
        <v>343982000</v>
      </c>
      <c r="L20" s="79">
        <f t="shared" si="4"/>
        <v>343982000</v>
      </c>
      <c r="M20" s="79">
        <f t="shared" si="4"/>
        <v>343982000</v>
      </c>
      <c r="N20" s="79">
        <f t="shared" si="4"/>
        <v>343982000</v>
      </c>
      <c r="O20" s="46"/>
    </row>
    <row r="21" ht="7.5" customHeight="1">
      <c r="A21" s="4"/>
      <c r="B21" s="4"/>
      <c r="C21" s="6"/>
      <c r="D21" s="4"/>
      <c r="E21" s="4"/>
      <c r="F21" s="4"/>
      <c r="G21" s="4"/>
      <c r="H21" s="4"/>
      <c r="I21" s="4"/>
      <c r="J21" s="4"/>
      <c r="K21" s="4"/>
      <c r="L21" s="4"/>
      <c r="M21" s="4"/>
      <c r="N21" s="25"/>
      <c r="O21" s="4"/>
    </row>
    <row r="22" ht="22.5" customHeight="1">
      <c r="A22" s="26"/>
      <c r="B22" s="106" t="s">
        <v>42</v>
      </c>
      <c r="C22" s="109"/>
      <c r="D22" s="109"/>
      <c r="E22" s="109"/>
      <c r="F22" s="109"/>
      <c r="G22" s="109"/>
      <c r="H22" s="109"/>
      <c r="I22" s="109"/>
      <c r="J22" s="109"/>
      <c r="K22" s="109"/>
      <c r="L22" s="109"/>
      <c r="M22" s="109"/>
      <c r="N22" s="111"/>
      <c r="O22" s="26"/>
    </row>
    <row r="23" ht="18.75" customHeight="1">
      <c r="A23" s="4"/>
      <c r="B23" s="33" t="str">
        <f>'⚙️Setup'!D3</f>
        <v>Family</v>
      </c>
      <c r="C23" s="33">
        <v>500000.0</v>
      </c>
      <c r="D23" s="33"/>
      <c r="E23" s="33"/>
      <c r="F23" s="33"/>
      <c r="G23" s="33"/>
      <c r="H23" s="33"/>
      <c r="I23" s="33"/>
      <c r="J23" s="33"/>
      <c r="K23" s="33"/>
      <c r="L23" s="33"/>
      <c r="M23" s="33"/>
      <c r="N23" s="33"/>
      <c r="O23" s="4"/>
    </row>
    <row r="24" ht="18.75" customHeight="1">
      <c r="A24" s="4"/>
      <c r="B24" s="33" t="str">
        <f>'⚙️Setup'!D4</f>
        <v>Utilities</v>
      </c>
      <c r="C24" s="33">
        <v>500000.0</v>
      </c>
      <c r="D24" s="33"/>
      <c r="E24" s="33"/>
      <c r="F24" s="33"/>
      <c r="G24" s="33"/>
      <c r="H24" s="33"/>
      <c r="I24" s="33"/>
      <c r="J24" s="33"/>
      <c r="K24" s="33"/>
      <c r="L24" s="33"/>
      <c r="M24" s="33"/>
      <c r="N24" s="33"/>
      <c r="O24" s="4"/>
    </row>
    <row r="25" ht="18.75" customHeight="1">
      <c r="A25" s="4"/>
      <c r="B25" s="33" t="str">
        <f>'⚙️Setup'!D5</f>
        <v>Food</v>
      </c>
      <c r="C25" s="33">
        <v>600000.0</v>
      </c>
      <c r="D25" s="33"/>
      <c r="E25" s="33"/>
      <c r="F25" s="33"/>
      <c r="G25" s="33"/>
      <c r="H25" s="33"/>
      <c r="I25" s="33"/>
      <c r="J25" s="33"/>
      <c r="K25" s="33"/>
      <c r="L25" s="33"/>
      <c r="M25" s="33"/>
      <c r="N25" s="33"/>
      <c r="O25" s="4"/>
    </row>
    <row r="26" ht="18.75" customHeight="1">
      <c r="A26" s="4"/>
      <c r="B26" s="33" t="str">
        <f>'⚙️Setup'!D6</f>
        <v>Supplies</v>
      </c>
      <c r="C26" s="33">
        <v>500000.0</v>
      </c>
      <c r="D26" s="33"/>
      <c r="E26" s="33"/>
      <c r="F26" s="33"/>
      <c r="G26" s="33"/>
      <c r="H26" s="33"/>
      <c r="I26" s="33"/>
      <c r="J26" s="33"/>
      <c r="K26" s="33"/>
      <c r="L26" s="33"/>
      <c r="M26" s="33"/>
      <c r="N26" s="33"/>
      <c r="O26" s="4"/>
    </row>
    <row r="27" ht="18.75" customHeight="1">
      <c r="A27" s="4"/>
      <c r="B27" s="33" t="str">
        <f>'⚙️Setup'!D7</f>
        <v>Transportation</v>
      </c>
      <c r="C27" s="33">
        <v>400000.0</v>
      </c>
      <c r="D27" s="33"/>
      <c r="E27" s="33"/>
      <c r="F27" s="33"/>
      <c r="G27" s="33"/>
      <c r="H27" s="33"/>
      <c r="I27" s="33"/>
      <c r="J27" s="33"/>
      <c r="K27" s="33"/>
      <c r="L27" s="33"/>
      <c r="M27" s="33"/>
      <c r="N27" s="33"/>
      <c r="O27" s="4"/>
    </row>
    <row r="28" ht="18.75" customHeight="1">
      <c r="A28" s="4"/>
      <c r="B28" s="33" t="str">
        <f>'⚙️Setup'!D8</f>
        <v>Healthcare</v>
      </c>
      <c r="C28" s="33">
        <v>200000.0</v>
      </c>
      <c r="D28" s="33"/>
      <c r="E28" s="33"/>
      <c r="F28" s="33"/>
      <c r="G28" s="33"/>
      <c r="H28" s="33"/>
      <c r="I28" s="33"/>
      <c r="J28" s="33"/>
      <c r="K28" s="33"/>
      <c r="L28" s="33"/>
      <c r="M28" s="33"/>
      <c r="N28" s="33"/>
      <c r="O28" s="4"/>
    </row>
    <row r="29" ht="18.75" customHeight="1">
      <c r="A29" s="4"/>
      <c r="B29" s="33" t="str">
        <f>'⚙️Setup'!D9</f>
        <v>Debt</v>
      </c>
      <c r="C29" s="33">
        <v>0.0</v>
      </c>
      <c r="D29" s="33"/>
      <c r="E29" s="33"/>
      <c r="F29" s="33"/>
      <c r="G29" s="33"/>
      <c r="H29" s="33"/>
      <c r="I29" s="33"/>
      <c r="J29" s="33"/>
      <c r="K29" s="33"/>
      <c r="L29" s="33"/>
      <c r="M29" s="33"/>
      <c r="N29" s="33"/>
      <c r="O29" s="4"/>
    </row>
    <row r="30" ht="18.75" customHeight="1">
      <c r="A30" s="4"/>
      <c r="B30" s="33" t="str">
        <f>'⚙️Setup'!D10</f>
        <v>Needs 8</v>
      </c>
      <c r="C30" s="33"/>
      <c r="D30" s="33"/>
      <c r="E30" s="33"/>
      <c r="F30" s="33"/>
      <c r="G30" s="33"/>
      <c r="H30" s="33"/>
      <c r="I30" s="33"/>
      <c r="J30" s="33"/>
      <c r="K30" s="33"/>
      <c r="L30" s="33"/>
      <c r="M30" s="33"/>
      <c r="N30" s="33"/>
      <c r="O30" s="4"/>
    </row>
    <row r="31" ht="18.75" customHeight="1">
      <c r="A31" s="4"/>
      <c r="B31" s="33" t="str">
        <f>'⚙️Setup'!D11</f>
        <v>Needs 9</v>
      </c>
      <c r="C31" s="33"/>
      <c r="D31" s="33"/>
      <c r="E31" s="33"/>
      <c r="F31" s="33"/>
      <c r="G31" s="33"/>
      <c r="H31" s="33"/>
      <c r="I31" s="33"/>
      <c r="J31" s="33"/>
      <c r="K31" s="33"/>
      <c r="L31" s="33"/>
      <c r="M31" s="33"/>
      <c r="N31" s="33"/>
      <c r="O31" s="4"/>
    </row>
    <row r="32" ht="18.75" customHeight="1">
      <c r="A32" s="4"/>
      <c r="B32" s="33" t="str">
        <f>'⚙️Setup'!D12</f>
        <v>Needs 10</v>
      </c>
      <c r="C32" s="33"/>
      <c r="D32" s="33"/>
      <c r="E32" s="33"/>
      <c r="F32" s="33"/>
      <c r="G32" s="33"/>
      <c r="H32" s="33"/>
      <c r="I32" s="33"/>
      <c r="J32" s="33"/>
      <c r="K32" s="33"/>
      <c r="L32" s="33"/>
      <c r="M32" s="33"/>
      <c r="N32" s="33"/>
      <c r="O32" s="4"/>
    </row>
    <row r="33" ht="18.75" customHeight="1">
      <c r="A33" s="4"/>
      <c r="B33" s="33" t="str">
        <f>'⚙️Setup'!E3</f>
        <v>Shopping</v>
      </c>
      <c r="C33" s="33">
        <v>200000.0</v>
      </c>
      <c r="D33" s="33"/>
      <c r="E33" s="33"/>
      <c r="F33" s="33"/>
      <c r="G33" s="33"/>
      <c r="H33" s="33"/>
      <c r="I33" s="33"/>
      <c r="J33" s="33"/>
      <c r="K33" s="33"/>
      <c r="L33" s="33"/>
      <c r="M33" s="33"/>
      <c r="N33" s="33"/>
      <c r="O33" s="4"/>
    </row>
    <row r="34" ht="18.75" customHeight="1">
      <c r="A34" s="4"/>
      <c r="B34" s="33" t="str">
        <f>'⚙️Setup'!E4</f>
        <v>Entertaiment</v>
      </c>
      <c r="C34" s="33">
        <v>200000.0</v>
      </c>
      <c r="D34" s="33"/>
      <c r="E34" s="33"/>
      <c r="F34" s="33"/>
      <c r="G34" s="33"/>
      <c r="H34" s="33"/>
      <c r="I34" s="33"/>
      <c r="J34" s="33"/>
      <c r="K34" s="33"/>
      <c r="L34" s="33"/>
      <c r="M34" s="33"/>
      <c r="N34" s="33"/>
      <c r="O34" s="4"/>
    </row>
    <row r="35" ht="18.75" customHeight="1">
      <c r="A35" s="4"/>
      <c r="B35" s="33" t="str">
        <f>'⚙️Setup'!E5</f>
        <v>Gifts</v>
      </c>
      <c r="C35" s="33">
        <v>150000.0</v>
      </c>
      <c r="D35" s="33"/>
      <c r="E35" s="33"/>
      <c r="F35" s="33"/>
      <c r="G35" s="33"/>
      <c r="H35" s="33"/>
      <c r="I35" s="33"/>
      <c r="J35" s="33"/>
      <c r="K35" s="33"/>
      <c r="L35" s="33"/>
      <c r="M35" s="33"/>
      <c r="N35" s="33"/>
      <c r="O35" s="4"/>
    </row>
    <row r="36" ht="18.75" customHeight="1">
      <c r="A36" s="4"/>
      <c r="B36" s="33" t="str">
        <f>'⚙️Setup'!E6</f>
        <v>Travel	</v>
      </c>
      <c r="C36" s="33"/>
      <c r="D36" s="33"/>
      <c r="E36" s="33"/>
      <c r="F36" s="33"/>
      <c r="G36" s="33"/>
      <c r="H36" s="33"/>
      <c r="I36" s="33"/>
      <c r="J36" s="33"/>
      <c r="K36" s="33"/>
      <c r="L36" s="33"/>
      <c r="M36" s="33"/>
      <c r="N36" s="33"/>
      <c r="O36" s="4"/>
    </row>
    <row r="37" ht="18.75" customHeight="1">
      <c r="A37" s="4"/>
      <c r="B37" s="33" t="str">
        <f>'⚙️Setup'!E7</f>
        <v>Wants 5</v>
      </c>
      <c r="C37" s="33"/>
      <c r="D37" s="33"/>
      <c r="E37" s="33"/>
      <c r="F37" s="33"/>
      <c r="G37" s="33"/>
      <c r="H37" s="33"/>
      <c r="I37" s="33"/>
      <c r="J37" s="33"/>
      <c r="K37" s="33"/>
      <c r="L37" s="33"/>
      <c r="M37" s="33"/>
      <c r="N37" s="33"/>
      <c r="O37" s="4"/>
    </row>
    <row r="38" ht="18.75" customHeight="1">
      <c r="A38" s="4"/>
      <c r="B38" s="33" t="str">
        <f>'⚙️Setup'!E8</f>
        <v>Wants 6</v>
      </c>
      <c r="C38" s="33"/>
      <c r="D38" s="33"/>
      <c r="E38" s="33"/>
      <c r="F38" s="33"/>
      <c r="G38" s="33"/>
      <c r="H38" s="33"/>
      <c r="I38" s="33"/>
      <c r="J38" s="33"/>
      <c r="K38" s="33"/>
      <c r="L38" s="33"/>
      <c r="M38" s="33"/>
      <c r="N38" s="33"/>
      <c r="O38" s="4"/>
    </row>
    <row r="39" ht="18.75" customHeight="1">
      <c r="A39" s="4"/>
      <c r="B39" s="33" t="str">
        <f>'⚙️Setup'!E9</f>
        <v>Wants 7</v>
      </c>
      <c r="C39" s="33"/>
      <c r="D39" s="33"/>
      <c r="E39" s="33"/>
      <c r="F39" s="33"/>
      <c r="G39" s="33"/>
      <c r="H39" s="33"/>
      <c r="I39" s="33"/>
      <c r="J39" s="33"/>
      <c r="K39" s="33"/>
      <c r="L39" s="33"/>
      <c r="M39" s="33"/>
      <c r="N39" s="33"/>
      <c r="O39" s="4"/>
    </row>
    <row r="40" ht="18.75" customHeight="1">
      <c r="A40" s="4"/>
      <c r="B40" s="33" t="str">
        <f>'⚙️Setup'!E10</f>
        <v>Wants 8</v>
      </c>
      <c r="C40" s="33"/>
      <c r="D40" s="33"/>
      <c r="E40" s="33"/>
      <c r="F40" s="33"/>
      <c r="G40" s="33"/>
      <c r="H40" s="33"/>
      <c r="I40" s="33"/>
      <c r="J40" s="33"/>
      <c r="K40" s="33"/>
      <c r="L40" s="33"/>
      <c r="M40" s="33"/>
      <c r="N40" s="33"/>
      <c r="O40" s="4"/>
    </row>
    <row r="41" ht="18.75" customHeight="1">
      <c r="A41" s="4"/>
      <c r="B41" s="33" t="str">
        <f>'⚙️Setup'!E11</f>
        <v>Wants 9</v>
      </c>
      <c r="C41" s="33"/>
      <c r="D41" s="33"/>
      <c r="E41" s="33"/>
      <c r="F41" s="33"/>
      <c r="G41" s="33"/>
      <c r="H41" s="33"/>
      <c r="I41" s="33"/>
      <c r="J41" s="33"/>
      <c r="K41" s="33"/>
      <c r="L41" s="33"/>
      <c r="M41" s="33"/>
      <c r="N41" s="33"/>
      <c r="O41" s="4"/>
    </row>
    <row r="42" ht="18.75" customHeight="1">
      <c r="A42" s="4"/>
      <c r="B42" s="33" t="str">
        <f>'⚙️Setup'!E12</f>
        <v>Wants 10</v>
      </c>
      <c r="C42" s="33"/>
      <c r="D42" s="33"/>
      <c r="E42" s="33"/>
      <c r="F42" s="33"/>
      <c r="G42" s="33"/>
      <c r="H42" s="33"/>
      <c r="I42" s="33"/>
      <c r="J42" s="33"/>
      <c r="K42" s="33"/>
      <c r="L42" s="33"/>
      <c r="M42" s="33"/>
      <c r="N42" s="33"/>
      <c r="O42" s="4"/>
    </row>
    <row r="43" ht="26.25" customHeight="1">
      <c r="A43" s="46"/>
      <c r="B43" s="48" t="s">
        <v>22</v>
      </c>
      <c r="C43" s="129">
        <f t="shared" ref="C43:N43" si="5">SUM(C23:C42)</f>
        <v>3250000</v>
      </c>
      <c r="D43" s="129">
        <f t="shared" si="5"/>
        <v>0</v>
      </c>
      <c r="E43" s="129">
        <f t="shared" si="5"/>
        <v>0</v>
      </c>
      <c r="F43" s="129">
        <f t="shared" si="5"/>
        <v>0</v>
      </c>
      <c r="G43" s="129">
        <f t="shared" si="5"/>
        <v>0</v>
      </c>
      <c r="H43" s="129">
        <f t="shared" si="5"/>
        <v>0</v>
      </c>
      <c r="I43" s="129">
        <f t="shared" si="5"/>
        <v>0</v>
      </c>
      <c r="J43" s="129">
        <f t="shared" si="5"/>
        <v>0</v>
      </c>
      <c r="K43" s="129">
        <f t="shared" si="5"/>
        <v>0</v>
      </c>
      <c r="L43" s="129">
        <f t="shared" si="5"/>
        <v>0</v>
      </c>
      <c r="M43" s="129">
        <f t="shared" si="5"/>
        <v>0</v>
      </c>
      <c r="N43" s="129">
        <f t="shared" si="5"/>
        <v>0</v>
      </c>
      <c r="O43" s="46"/>
    </row>
    <row r="44" ht="7.5" customHeight="1">
      <c r="A44" s="4"/>
      <c r="B44" s="4"/>
      <c r="C44" s="6"/>
      <c r="D44" s="4"/>
      <c r="E44" s="4"/>
      <c r="F44" s="4"/>
      <c r="G44" s="4"/>
      <c r="H44" s="4"/>
      <c r="I44" s="4"/>
      <c r="J44" s="4"/>
      <c r="K44" s="4"/>
      <c r="L44" s="4"/>
      <c r="M44" s="4"/>
      <c r="N44" s="25"/>
      <c r="O44" s="4"/>
    </row>
    <row r="45" ht="22.5" customHeight="1">
      <c r="A45" s="131"/>
      <c r="B45" s="132" t="s">
        <v>67</v>
      </c>
      <c r="C45" s="133">
        <f t="shared" ref="C45:N45" si="6">IFERROR((C43+C19)/C10,"N/A")</f>
        <v>50.01181046</v>
      </c>
      <c r="D45" s="133" t="str">
        <f t="shared" si="6"/>
        <v>N/A</v>
      </c>
      <c r="E45" s="133" t="str">
        <f t="shared" si="6"/>
        <v>N/A</v>
      </c>
      <c r="F45" s="133" t="str">
        <f t="shared" si="6"/>
        <v>N/A</v>
      </c>
      <c r="G45" s="133" t="str">
        <f t="shared" si="6"/>
        <v>N/A</v>
      </c>
      <c r="H45" s="133" t="str">
        <f t="shared" si="6"/>
        <v>N/A</v>
      </c>
      <c r="I45" s="133" t="str">
        <f t="shared" si="6"/>
        <v>N/A</v>
      </c>
      <c r="J45" s="133" t="str">
        <f t="shared" si="6"/>
        <v>N/A</v>
      </c>
      <c r="K45" s="133" t="str">
        <f t="shared" si="6"/>
        <v>N/A</v>
      </c>
      <c r="L45" s="133" t="str">
        <f t="shared" si="6"/>
        <v>N/A</v>
      </c>
      <c r="M45" s="133" t="str">
        <f t="shared" si="6"/>
        <v>N/A</v>
      </c>
      <c r="N45" s="133" t="str">
        <f t="shared" si="6"/>
        <v>N/A</v>
      </c>
      <c r="O45" s="131"/>
    </row>
    <row r="46" ht="22.5" customHeight="1">
      <c r="A46" s="131"/>
      <c r="B46" s="132" t="s">
        <v>68</v>
      </c>
      <c r="C46" s="135">
        <f t="shared" ref="C46:N46" si="7">C10-C19-C43</f>
        <v>-340289000</v>
      </c>
      <c r="D46" s="135">
        <f t="shared" si="7"/>
        <v>0</v>
      </c>
      <c r="E46" s="135">
        <f t="shared" si="7"/>
        <v>0</v>
      </c>
      <c r="F46" s="135">
        <f t="shared" si="7"/>
        <v>0</v>
      </c>
      <c r="G46" s="135">
        <f t="shared" si="7"/>
        <v>0</v>
      </c>
      <c r="H46" s="135">
        <f t="shared" si="7"/>
        <v>0</v>
      </c>
      <c r="I46" s="135">
        <f t="shared" si="7"/>
        <v>0</v>
      </c>
      <c r="J46" s="135">
        <f t="shared" si="7"/>
        <v>0</v>
      </c>
      <c r="K46" s="135">
        <f t="shared" si="7"/>
        <v>0</v>
      </c>
      <c r="L46" s="135">
        <f t="shared" si="7"/>
        <v>0</v>
      </c>
      <c r="M46" s="135">
        <f t="shared" si="7"/>
        <v>0</v>
      </c>
      <c r="N46" s="135">
        <f t="shared" si="7"/>
        <v>0</v>
      </c>
      <c r="O46" s="131"/>
    </row>
    <row r="47" ht="11.25" customHeight="1">
      <c r="A47" s="4"/>
      <c r="B47" s="4"/>
      <c r="C47" s="6"/>
      <c r="D47" s="6"/>
      <c r="E47" s="6"/>
      <c r="F47" s="6"/>
      <c r="G47" s="6"/>
      <c r="H47" s="6"/>
      <c r="I47" s="6"/>
      <c r="J47" s="6"/>
      <c r="K47" s="6"/>
      <c r="L47" s="6"/>
      <c r="M47" s="6"/>
      <c r="N47" s="9"/>
      <c r="O47" s="4"/>
    </row>
  </sheetData>
  <conditionalFormatting sqref="C46:N46">
    <cfRule type="beginsWith" dxfId="1" priority="1" operator="beginsWith" text="-">
      <formula>LEFT((C46),LEN("-"))=("-")</formula>
    </cfRule>
  </conditionalFormatting>
  <conditionalFormatting sqref="C45:N45">
    <cfRule type="cellIs" dxfId="1" priority="2" operator="greaterThan">
      <formula>"100%"</formula>
    </cfRule>
  </conditionalFormatting>
  <conditionalFormatting sqref="B2:N2">
    <cfRule type="cellIs" dxfId="2" priority="3" operator="equal">
      <formula>TEXT(TODAY(), "MMMM")</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E9E"/>
    <outlinePr summaryBelow="0" summaryRight="0"/>
  </sheetPr>
  <sheetViews>
    <sheetView showGridLines="0" workbookViewId="0">
      <pane ySplit="7.0" topLeftCell="A8" activePane="bottomLeft" state="frozen"/>
      <selection activeCell="B9" sqref="B9" pane="bottomLeft"/>
    </sheetView>
  </sheetViews>
  <sheetFormatPr customHeight="1" defaultColWidth="12.63" defaultRowHeight="15.75"/>
  <cols>
    <col customWidth="1" min="1" max="1" width="2.0"/>
    <col customWidth="1" min="2" max="2" width="9.5"/>
    <col customWidth="1" min="3" max="3" width="17.63"/>
    <col customWidth="1" min="4" max="4" width="18.88"/>
    <col customWidth="1" min="5" max="5" width="25.13"/>
    <col customWidth="1" min="6" max="6" width="28.0"/>
    <col customWidth="1" min="7" max="7" width="22.0"/>
    <col customWidth="1" min="8" max="8" width="2.0"/>
  </cols>
  <sheetData>
    <row r="1" ht="11.25" customHeight="1">
      <c r="A1" s="61"/>
      <c r="B1" s="62"/>
      <c r="C1" s="64"/>
      <c r="D1" s="65"/>
      <c r="E1" s="65"/>
      <c r="F1" s="65"/>
      <c r="G1" s="67"/>
      <c r="H1" s="62"/>
    </row>
    <row r="2" ht="26.25" customHeight="1">
      <c r="A2" s="62"/>
      <c r="B2" s="69" t="s">
        <v>30</v>
      </c>
      <c r="H2" s="62"/>
    </row>
    <row r="3" ht="9.0" customHeight="1">
      <c r="A3" s="62"/>
      <c r="B3" s="70"/>
      <c r="C3" s="70"/>
      <c r="D3" s="70"/>
      <c r="E3" s="71"/>
      <c r="F3" s="72"/>
      <c r="G3" s="73"/>
      <c r="H3" s="62"/>
    </row>
    <row r="4" ht="21.0" customHeight="1">
      <c r="A4" s="62"/>
      <c r="B4" s="75" t="s">
        <v>31</v>
      </c>
      <c r="C4" s="78">
        <f>TODAY()</f>
        <v>46317</v>
      </c>
      <c r="D4" s="81"/>
      <c r="E4" s="83"/>
      <c r="F4" s="75"/>
      <c r="G4" s="85"/>
      <c r="H4" s="62"/>
    </row>
    <row r="5" ht="9.0" customHeight="1">
      <c r="A5" s="62"/>
      <c r="B5" s="62"/>
      <c r="C5" s="71"/>
      <c r="D5" s="71"/>
      <c r="E5" s="71"/>
      <c r="F5" s="72"/>
      <c r="G5" s="73"/>
      <c r="H5" s="62"/>
    </row>
    <row r="6" ht="25.5" customHeight="1">
      <c r="A6" s="87"/>
      <c r="B6" s="89" t="s">
        <v>36</v>
      </c>
      <c r="C6" s="91" t="s">
        <v>37</v>
      </c>
      <c r="D6" s="93" t="s">
        <v>38</v>
      </c>
      <c r="E6" s="94"/>
      <c r="F6" s="91" t="s">
        <v>39</v>
      </c>
      <c r="G6" s="95" t="s">
        <v>22</v>
      </c>
      <c r="H6" s="87"/>
    </row>
    <row r="7" ht="9.0" customHeight="1">
      <c r="A7" s="62"/>
      <c r="B7" s="97"/>
      <c r="C7" s="98"/>
      <c r="D7" s="99"/>
      <c r="E7" s="99"/>
      <c r="F7" s="100"/>
      <c r="G7" s="101"/>
      <c r="H7" s="62"/>
    </row>
    <row r="8" ht="17.25" customHeight="1">
      <c r="A8" s="102"/>
      <c r="B8" s="105" t="b">
        <v>0</v>
      </c>
      <c r="C8" s="107">
        <v>45292.0</v>
      </c>
      <c r="D8" s="108" t="s">
        <v>45</v>
      </c>
      <c r="E8" s="110"/>
      <c r="F8" s="112" t="s">
        <v>46</v>
      </c>
      <c r="G8" s="113">
        <v>300000.0</v>
      </c>
      <c r="H8" s="114"/>
    </row>
    <row r="9" ht="17.25" customHeight="1">
      <c r="A9" s="102"/>
      <c r="B9" s="105" t="b">
        <v>0</v>
      </c>
      <c r="C9" s="107">
        <v>45293.0</v>
      </c>
      <c r="D9" s="108" t="s">
        <v>47</v>
      </c>
      <c r="E9" s="110"/>
      <c r="F9" s="108" t="s">
        <v>48</v>
      </c>
      <c r="G9" s="113">
        <v>300000.0</v>
      </c>
      <c r="H9" s="114"/>
    </row>
    <row r="10" ht="17.25" customHeight="1">
      <c r="A10" s="102"/>
      <c r="B10" s="105" t="b">
        <v>0</v>
      </c>
      <c r="C10" s="107">
        <v>45294.0</v>
      </c>
      <c r="D10" s="108" t="s">
        <v>49</v>
      </c>
      <c r="E10" s="110"/>
      <c r="F10" s="108" t="s">
        <v>50</v>
      </c>
      <c r="G10" s="113">
        <v>178000.0</v>
      </c>
      <c r="H10" s="114"/>
    </row>
    <row r="11" ht="17.25" customHeight="1">
      <c r="A11" s="102"/>
      <c r="B11" s="105" t="b">
        <v>0</v>
      </c>
      <c r="C11" s="107">
        <v>45295.0</v>
      </c>
      <c r="D11" s="108" t="s">
        <v>51</v>
      </c>
      <c r="E11" s="110"/>
      <c r="F11" s="108" t="s">
        <v>52</v>
      </c>
      <c r="G11" s="113">
        <v>280000.0</v>
      </c>
      <c r="H11" s="114"/>
    </row>
    <row r="12" ht="17.25" customHeight="1">
      <c r="A12" s="102"/>
      <c r="B12" s="105" t="b">
        <v>0</v>
      </c>
      <c r="C12" s="107">
        <v>45296.0</v>
      </c>
      <c r="D12" s="108" t="s">
        <v>53</v>
      </c>
      <c r="E12" s="110"/>
      <c r="F12" s="108" t="s">
        <v>46</v>
      </c>
      <c r="G12" s="113">
        <v>75000.0</v>
      </c>
      <c r="H12" s="114"/>
    </row>
    <row r="13" ht="17.25" customHeight="1">
      <c r="A13" s="102"/>
      <c r="B13" s="105" t="b">
        <v>0</v>
      </c>
      <c r="C13" s="107">
        <v>45297.0</v>
      </c>
      <c r="D13" s="108" t="s">
        <v>54</v>
      </c>
      <c r="E13" s="110"/>
      <c r="F13" s="108" t="s">
        <v>55</v>
      </c>
      <c r="G13" s="113">
        <v>100000.0</v>
      </c>
      <c r="H13" s="114"/>
    </row>
    <row r="14" ht="17.25" customHeight="1">
      <c r="A14" s="102"/>
      <c r="B14" s="105" t="b">
        <v>0</v>
      </c>
      <c r="C14" s="107">
        <v>45298.0</v>
      </c>
      <c r="D14" s="108" t="s">
        <v>56</v>
      </c>
      <c r="E14" s="110"/>
      <c r="F14" s="108" t="s">
        <v>48</v>
      </c>
      <c r="G14" s="113">
        <v>100000.0</v>
      </c>
      <c r="H14" s="114"/>
    </row>
    <row r="15" ht="17.25" customHeight="1">
      <c r="A15" s="102"/>
      <c r="B15" s="105" t="b">
        <v>0</v>
      </c>
      <c r="C15" s="107">
        <v>45299.0</v>
      </c>
      <c r="D15" s="108" t="s">
        <v>57</v>
      </c>
      <c r="E15" s="110"/>
      <c r="F15" s="112" t="s">
        <v>46</v>
      </c>
      <c r="G15" s="113">
        <v>10000.0</v>
      </c>
      <c r="H15" s="114"/>
    </row>
    <row r="16" ht="17.25" customHeight="1">
      <c r="A16" s="102"/>
      <c r="B16" s="105" t="b">
        <v>0</v>
      </c>
      <c r="C16" s="107">
        <v>45300.0</v>
      </c>
      <c r="D16" s="108" t="s">
        <v>58</v>
      </c>
      <c r="E16" s="110"/>
      <c r="F16" s="108" t="s">
        <v>46</v>
      </c>
      <c r="G16" s="113">
        <v>88000.0</v>
      </c>
      <c r="H16" s="114"/>
    </row>
    <row r="17" ht="17.25" customHeight="1">
      <c r="A17" s="102"/>
      <c r="B17" s="105" t="b">
        <v>0</v>
      </c>
      <c r="C17" s="107">
        <v>45301.0</v>
      </c>
      <c r="D17" s="108" t="s">
        <v>59</v>
      </c>
      <c r="E17" s="110"/>
      <c r="F17" s="108" t="s">
        <v>52</v>
      </c>
      <c r="G17" s="113">
        <v>102500.0</v>
      </c>
      <c r="H17" s="114"/>
    </row>
    <row r="18" ht="17.25" customHeight="1">
      <c r="A18" s="102"/>
      <c r="B18" s="105" t="b">
        <v>0</v>
      </c>
      <c r="C18" s="107">
        <v>45302.0</v>
      </c>
      <c r="D18" s="108" t="s">
        <v>60</v>
      </c>
      <c r="E18" s="110"/>
      <c r="F18" s="108" t="s">
        <v>61</v>
      </c>
      <c r="G18" s="113">
        <v>500000.0</v>
      </c>
      <c r="H18" s="114"/>
    </row>
    <row r="19" ht="17.25" customHeight="1">
      <c r="A19" s="102"/>
      <c r="B19" s="105" t="b">
        <v>0</v>
      </c>
      <c r="C19" s="107">
        <v>45322.0</v>
      </c>
      <c r="F19" s="108"/>
      <c r="H19" s="114"/>
    </row>
    <row r="20" ht="17.25" customHeight="1">
      <c r="A20" s="102"/>
      <c r="B20" s="105" t="b">
        <v>0</v>
      </c>
      <c r="C20" s="107"/>
      <c r="D20" s="108"/>
      <c r="E20" s="110"/>
      <c r="F20" s="108"/>
      <c r="G20" s="113"/>
      <c r="H20" s="114"/>
    </row>
    <row r="21" ht="17.25" customHeight="1">
      <c r="A21" s="102"/>
      <c r="B21" s="105" t="b">
        <v>0</v>
      </c>
      <c r="C21" s="107"/>
      <c r="D21" s="108"/>
      <c r="E21" s="110"/>
      <c r="F21" s="108"/>
      <c r="G21" s="113"/>
      <c r="H21" s="114"/>
    </row>
    <row r="22" ht="17.25" customHeight="1">
      <c r="A22" s="102"/>
      <c r="B22" s="105" t="b">
        <v>0</v>
      </c>
      <c r="C22" s="107"/>
      <c r="D22" s="108"/>
      <c r="E22" s="118"/>
      <c r="F22" s="108"/>
      <c r="G22" s="113"/>
      <c r="H22" s="114"/>
    </row>
    <row r="23" ht="17.25" customHeight="1">
      <c r="A23" s="102"/>
      <c r="B23" s="105" t="b">
        <v>0</v>
      </c>
      <c r="C23" s="107"/>
      <c r="D23" s="108"/>
      <c r="E23" s="118"/>
      <c r="F23" s="108"/>
      <c r="G23" s="113"/>
      <c r="H23" s="114"/>
    </row>
    <row r="24" ht="17.25" customHeight="1">
      <c r="A24" s="102"/>
      <c r="B24" s="105" t="b">
        <v>0</v>
      </c>
      <c r="C24" s="107"/>
      <c r="D24" s="108"/>
      <c r="E24" s="118"/>
      <c r="F24" s="108"/>
      <c r="G24" s="113"/>
      <c r="H24" s="114"/>
    </row>
    <row r="25" ht="17.25" customHeight="1">
      <c r="A25" s="102"/>
      <c r="B25" s="105" t="b">
        <v>0</v>
      </c>
      <c r="C25" s="107"/>
      <c r="D25" s="108"/>
      <c r="E25" s="118"/>
      <c r="F25" s="108"/>
      <c r="G25" s="113"/>
      <c r="H25" s="114"/>
    </row>
    <row r="26" ht="17.25" customHeight="1">
      <c r="A26" s="102"/>
      <c r="B26" s="105" t="b">
        <v>0</v>
      </c>
      <c r="C26" s="107"/>
      <c r="D26" s="108"/>
      <c r="E26" s="118"/>
      <c r="F26" s="108"/>
      <c r="G26" s="113"/>
      <c r="H26" s="114"/>
    </row>
    <row r="27" ht="17.25" customHeight="1">
      <c r="A27" s="102"/>
      <c r="B27" s="105" t="b">
        <v>0</v>
      </c>
      <c r="C27" s="107"/>
      <c r="D27" s="108"/>
      <c r="E27" s="118"/>
      <c r="F27" s="108"/>
      <c r="G27" s="113"/>
      <c r="H27" s="114"/>
    </row>
    <row r="28" ht="17.25" customHeight="1">
      <c r="A28" s="102"/>
      <c r="B28" s="105" t="b">
        <v>0</v>
      </c>
      <c r="C28" s="107"/>
      <c r="D28" s="108"/>
      <c r="E28" s="118"/>
      <c r="F28" s="108"/>
      <c r="G28" s="113"/>
      <c r="H28" s="114"/>
    </row>
    <row r="29" ht="17.25" customHeight="1">
      <c r="A29" s="102"/>
      <c r="B29" s="105" t="b">
        <v>0</v>
      </c>
      <c r="C29" s="107"/>
      <c r="D29" s="108"/>
      <c r="E29" s="118"/>
      <c r="F29" s="108"/>
      <c r="G29" s="113"/>
      <c r="H29" s="114"/>
    </row>
    <row r="30" ht="17.25" customHeight="1">
      <c r="A30" s="102"/>
      <c r="B30" s="105" t="b">
        <v>0</v>
      </c>
      <c r="C30" s="107"/>
      <c r="D30" s="108"/>
      <c r="E30" s="118"/>
      <c r="F30" s="108"/>
      <c r="G30" s="113"/>
      <c r="H30" s="114"/>
    </row>
    <row r="31" ht="17.25" customHeight="1">
      <c r="A31" s="102"/>
      <c r="B31" s="105" t="b">
        <v>0</v>
      </c>
      <c r="C31" s="107"/>
      <c r="D31" s="108"/>
      <c r="E31" s="118"/>
      <c r="F31" s="108"/>
      <c r="G31" s="113"/>
      <c r="H31" s="114"/>
    </row>
    <row r="32" ht="17.25" customHeight="1">
      <c r="A32" s="102"/>
      <c r="B32" s="105" t="b">
        <v>0</v>
      </c>
      <c r="C32" s="107"/>
      <c r="D32" s="108"/>
      <c r="E32" s="118"/>
      <c r="F32" s="108"/>
      <c r="G32" s="113"/>
      <c r="H32" s="114"/>
    </row>
    <row r="33" ht="17.25" customHeight="1">
      <c r="A33" s="102"/>
      <c r="B33" s="105" t="b">
        <v>0</v>
      </c>
      <c r="C33" s="107"/>
      <c r="D33" s="108"/>
      <c r="E33" s="108"/>
      <c r="F33" s="108"/>
      <c r="G33" s="113"/>
      <c r="H33" s="114"/>
    </row>
    <row r="34" ht="17.25" customHeight="1">
      <c r="A34" s="102"/>
      <c r="B34" s="105" t="b">
        <v>0</v>
      </c>
      <c r="C34" s="107"/>
      <c r="D34" s="108"/>
      <c r="E34" s="108"/>
      <c r="F34" s="108"/>
      <c r="G34" s="113"/>
      <c r="H34" s="114"/>
    </row>
    <row r="35" ht="17.25" customHeight="1">
      <c r="A35" s="102"/>
      <c r="B35" s="105" t="b">
        <v>0</v>
      </c>
      <c r="C35" s="107"/>
      <c r="D35" s="108"/>
      <c r="E35" s="108"/>
      <c r="F35" s="108"/>
      <c r="G35" s="113"/>
      <c r="H35" s="114"/>
    </row>
    <row r="36" ht="17.25" customHeight="1">
      <c r="A36" s="102"/>
      <c r="B36" s="105" t="b">
        <v>0</v>
      </c>
      <c r="C36" s="107"/>
      <c r="D36" s="108"/>
      <c r="E36" s="108"/>
      <c r="F36" s="108"/>
      <c r="G36" s="113"/>
      <c r="H36" s="114"/>
    </row>
    <row r="37" ht="17.25" customHeight="1">
      <c r="A37" s="102"/>
      <c r="B37" s="105" t="b">
        <v>0</v>
      </c>
      <c r="C37" s="107"/>
      <c r="D37" s="108"/>
      <c r="E37" s="108"/>
      <c r="F37" s="108"/>
      <c r="G37" s="113"/>
      <c r="H37" s="114"/>
    </row>
    <row r="38" ht="17.25" customHeight="1">
      <c r="A38" s="102"/>
      <c r="B38" s="105" t="b">
        <v>0</v>
      </c>
      <c r="C38" s="107"/>
      <c r="D38" s="108"/>
      <c r="E38" s="108"/>
      <c r="F38" s="108"/>
      <c r="G38" s="113"/>
      <c r="H38" s="114"/>
    </row>
    <row r="39" ht="17.25" customHeight="1">
      <c r="A39" s="102"/>
      <c r="B39" s="105" t="b">
        <v>0</v>
      </c>
      <c r="C39" s="107"/>
      <c r="D39" s="108"/>
      <c r="E39" s="108"/>
      <c r="F39" s="108"/>
      <c r="G39" s="113"/>
      <c r="H39" s="114"/>
    </row>
    <row r="40" ht="17.25" customHeight="1">
      <c r="A40" s="102"/>
      <c r="B40" s="105" t="b">
        <v>0</v>
      </c>
      <c r="C40" s="107"/>
      <c r="D40" s="108"/>
      <c r="E40" s="108"/>
      <c r="F40" s="108"/>
      <c r="G40" s="113"/>
      <c r="H40" s="114"/>
    </row>
    <row r="41" ht="17.25" customHeight="1">
      <c r="A41" s="102"/>
      <c r="B41" s="105" t="b">
        <v>0</v>
      </c>
      <c r="C41" s="107"/>
      <c r="D41" s="108"/>
      <c r="E41" s="108"/>
      <c r="F41" s="108"/>
      <c r="G41" s="113"/>
      <c r="H41" s="114"/>
    </row>
    <row r="42" ht="17.25" customHeight="1">
      <c r="A42" s="102"/>
      <c r="B42" s="105" t="b">
        <v>0</v>
      </c>
      <c r="C42" s="107"/>
      <c r="D42" s="108"/>
      <c r="E42" s="108"/>
      <c r="F42" s="108"/>
      <c r="G42" s="113"/>
      <c r="H42" s="114"/>
    </row>
    <row r="43" ht="17.25" customHeight="1">
      <c r="A43" s="102"/>
      <c r="B43" s="105" t="b">
        <v>0</v>
      </c>
      <c r="C43" s="107"/>
      <c r="D43" s="108"/>
      <c r="E43" s="108"/>
      <c r="F43" s="108"/>
      <c r="G43" s="113"/>
      <c r="H43" s="114"/>
    </row>
    <row r="44" ht="17.25" customHeight="1">
      <c r="A44" s="102"/>
      <c r="B44" s="105" t="b">
        <v>0</v>
      </c>
      <c r="C44" s="107"/>
      <c r="D44" s="108"/>
      <c r="E44" s="108"/>
      <c r="F44" s="108"/>
      <c r="G44" s="113"/>
      <c r="H44" s="114"/>
    </row>
    <row r="45" ht="17.25" customHeight="1">
      <c r="A45" s="102"/>
      <c r="B45" s="105" t="b">
        <v>0</v>
      </c>
      <c r="C45" s="107"/>
      <c r="D45" s="108"/>
      <c r="E45" s="108"/>
      <c r="F45" s="108"/>
      <c r="G45" s="113"/>
      <c r="H45" s="114"/>
    </row>
    <row r="46" ht="17.25" customHeight="1">
      <c r="A46" s="102"/>
      <c r="B46" s="105" t="b">
        <v>0</v>
      </c>
      <c r="C46" s="107"/>
      <c r="D46" s="108"/>
      <c r="E46" s="108"/>
      <c r="F46" s="108"/>
      <c r="G46" s="113"/>
      <c r="H46" s="114"/>
    </row>
    <row r="47" ht="17.25" customHeight="1">
      <c r="A47" s="102"/>
      <c r="B47" s="105" t="b">
        <v>0</v>
      </c>
      <c r="C47" s="107"/>
      <c r="D47" s="108"/>
      <c r="E47" s="108"/>
      <c r="F47" s="108"/>
      <c r="G47" s="113"/>
      <c r="H47" s="114"/>
    </row>
    <row r="48" ht="17.25" customHeight="1">
      <c r="A48" s="102"/>
      <c r="B48" s="105" t="b">
        <v>0</v>
      </c>
      <c r="C48" s="107"/>
      <c r="D48" s="108"/>
      <c r="E48" s="108"/>
      <c r="F48" s="108"/>
      <c r="G48" s="113"/>
      <c r="H48" s="114"/>
    </row>
    <row r="49" ht="17.25" customHeight="1">
      <c r="A49" s="102"/>
      <c r="B49" s="105" t="b">
        <v>0</v>
      </c>
      <c r="C49" s="107"/>
      <c r="D49" s="108"/>
      <c r="E49" s="108"/>
      <c r="F49" s="108"/>
      <c r="G49" s="113"/>
      <c r="H49" s="114"/>
    </row>
    <row r="50" ht="17.25" customHeight="1">
      <c r="A50" s="102"/>
      <c r="B50" s="105" t="b">
        <v>0</v>
      </c>
      <c r="C50" s="107"/>
      <c r="D50" s="108"/>
      <c r="E50" s="110"/>
      <c r="F50" s="108"/>
      <c r="G50" s="113"/>
      <c r="H50" s="114"/>
    </row>
    <row r="51" ht="17.25" customHeight="1">
      <c r="A51" s="102"/>
      <c r="B51" s="105" t="b">
        <v>0</v>
      </c>
      <c r="C51" s="107"/>
      <c r="D51" s="108"/>
      <c r="E51" s="110"/>
      <c r="F51" s="108"/>
      <c r="G51" s="113"/>
      <c r="H51" s="114"/>
    </row>
    <row r="52" ht="17.25" customHeight="1">
      <c r="A52" s="102"/>
      <c r="B52" s="105" t="b">
        <v>0</v>
      </c>
      <c r="C52" s="107"/>
      <c r="D52" s="108"/>
      <c r="E52" s="110"/>
      <c r="F52" s="108"/>
      <c r="G52" s="113"/>
      <c r="H52" s="114"/>
    </row>
    <row r="53" ht="17.25" customHeight="1">
      <c r="A53" s="102"/>
      <c r="B53" s="105" t="b">
        <v>0</v>
      </c>
      <c r="C53" s="107"/>
      <c r="D53" s="108"/>
      <c r="E53" s="110"/>
      <c r="F53" s="108"/>
      <c r="G53" s="113"/>
      <c r="H53" s="114"/>
    </row>
    <row r="54" ht="17.25" customHeight="1">
      <c r="A54" s="102"/>
      <c r="B54" s="105" t="b">
        <v>0</v>
      </c>
      <c r="C54" s="107"/>
      <c r="D54" s="108"/>
      <c r="E54" s="110"/>
      <c r="F54" s="108"/>
      <c r="G54" s="113"/>
      <c r="H54" s="114"/>
    </row>
    <row r="55" ht="17.25" customHeight="1">
      <c r="A55" s="102"/>
      <c r="B55" s="105" t="b">
        <v>0</v>
      </c>
      <c r="C55" s="107"/>
      <c r="D55" s="108"/>
      <c r="E55" s="110"/>
      <c r="F55" s="108"/>
      <c r="G55" s="113"/>
      <c r="H55" s="114"/>
    </row>
    <row r="56" ht="17.25" customHeight="1">
      <c r="A56" s="102"/>
      <c r="B56" s="105" t="b">
        <v>0</v>
      </c>
      <c r="C56" s="107"/>
      <c r="D56" s="108"/>
      <c r="E56" s="110"/>
      <c r="F56" s="108"/>
      <c r="G56" s="113"/>
      <c r="H56" s="114"/>
    </row>
    <row r="57" ht="17.25" customHeight="1">
      <c r="A57" s="102"/>
      <c r="B57" s="105" t="b">
        <v>0</v>
      </c>
      <c r="C57" s="107"/>
      <c r="D57" s="108"/>
      <c r="E57" s="110"/>
      <c r="F57" s="108"/>
      <c r="G57" s="113"/>
      <c r="H57" s="114"/>
    </row>
    <row r="58" ht="17.25" customHeight="1">
      <c r="A58" s="102"/>
      <c r="B58" s="105" t="b">
        <v>0</v>
      </c>
      <c r="C58" s="107"/>
      <c r="D58" s="108"/>
      <c r="E58" s="110"/>
      <c r="F58" s="108"/>
      <c r="G58" s="113"/>
      <c r="H58" s="114"/>
    </row>
    <row r="59" ht="17.25" customHeight="1">
      <c r="A59" s="102"/>
      <c r="B59" s="105" t="b">
        <v>0</v>
      </c>
      <c r="C59" s="107"/>
      <c r="D59" s="108"/>
      <c r="E59" s="110"/>
      <c r="F59" s="108"/>
      <c r="G59" s="113"/>
      <c r="H59" s="114"/>
    </row>
    <row r="60" ht="17.25" customHeight="1">
      <c r="A60" s="102"/>
      <c r="B60" s="105" t="b">
        <v>0</v>
      </c>
      <c r="C60" s="107"/>
      <c r="D60" s="108"/>
      <c r="E60" s="110"/>
      <c r="F60" s="108"/>
      <c r="G60" s="113"/>
      <c r="H60" s="114"/>
    </row>
    <row r="61" ht="17.25" customHeight="1">
      <c r="A61" s="102"/>
      <c r="B61" s="105" t="b">
        <v>0</v>
      </c>
      <c r="C61" s="107"/>
      <c r="D61" s="108"/>
      <c r="E61" s="110"/>
      <c r="F61" s="108"/>
      <c r="G61" s="113"/>
      <c r="H61" s="114"/>
    </row>
    <row r="62" ht="17.25" customHeight="1">
      <c r="A62" s="102"/>
      <c r="B62" s="105" t="b">
        <v>0</v>
      </c>
      <c r="C62" s="107"/>
      <c r="D62" s="108"/>
      <c r="E62" s="110"/>
      <c r="F62" s="108"/>
      <c r="G62" s="113"/>
      <c r="H62" s="114"/>
    </row>
    <row r="63" ht="17.25" customHeight="1">
      <c r="A63" s="102"/>
      <c r="B63" s="105" t="b">
        <v>0</v>
      </c>
      <c r="C63" s="107"/>
      <c r="D63" s="108"/>
      <c r="E63" s="110"/>
      <c r="F63" s="108"/>
      <c r="G63" s="113"/>
      <c r="H63" s="114"/>
    </row>
    <row r="64" ht="17.25" customHeight="1">
      <c r="A64" s="102"/>
      <c r="B64" s="105" t="b">
        <v>0</v>
      </c>
      <c r="C64" s="107"/>
      <c r="D64" s="108"/>
      <c r="E64" s="110"/>
      <c r="F64" s="108"/>
      <c r="G64" s="113"/>
      <c r="H64" s="114"/>
    </row>
    <row r="65" ht="17.25" customHeight="1">
      <c r="A65" s="102"/>
      <c r="B65" s="105" t="b">
        <v>0</v>
      </c>
      <c r="C65" s="107"/>
      <c r="D65" s="108"/>
      <c r="E65" s="110"/>
      <c r="F65" s="108"/>
      <c r="G65" s="113"/>
      <c r="H65" s="114"/>
    </row>
    <row r="66" ht="17.25" customHeight="1">
      <c r="A66" s="102"/>
      <c r="B66" s="105" t="b">
        <v>0</v>
      </c>
      <c r="C66" s="107"/>
      <c r="D66" s="108"/>
      <c r="E66" s="110"/>
      <c r="F66" s="108"/>
      <c r="G66" s="113"/>
      <c r="H66" s="114"/>
    </row>
    <row r="67" ht="17.25" customHeight="1">
      <c r="A67" s="102"/>
      <c r="B67" s="105" t="b">
        <v>0</v>
      </c>
      <c r="C67" s="107"/>
      <c r="D67" s="108"/>
      <c r="E67" s="110"/>
      <c r="F67" s="108"/>
      <c r="G67" s="113"/>
      <c r="H67" s="114"/>
    </row>
    <row r="68" ht="17.25" customHeight="1">
      <c r="A68" s="102"/>
      <c r="B68" s="105" t="b">
        <v>0</v>
      </c>
      <c r="C68" s="107"/>
      <c r="D68" s="108"/>
      <c r="E68" s="110"/>
      <c r="F68" s="108"/>
      <c r="G68" s="113"/>
      <c r="H68" s="114"/>
    </row>
    <row r="69" ht="17.25" customHeight="1">
      <c r="A69" s="102"/>
      <c r="B69" s="105" t="b">
        <v>0</v>
      </c>
      <c r="C69" s="107"/>
      <c r="D69" s="108"/>
      <c r="E69" s="110"/>
      <c r="F69" s="108"/>
      <c r="G69" s="113"/>
      <c r="H69" s="114"/>
    </row>
    <row r="70" ht="17.25" customHeight="1">
      <c r="A70" s="102"/>
      <c r="B70" s="105" t="b">
        <v>0</v>
      </c>
      <c r="C70" s="107"/>
      <c r="D70" s="108"/>
      <c r="E70" s="108"/>
      <c r="F70" s="108"/>
      <c r="G70" s="113"/>
      <c r="H70" s="114"/>
    </row>
    <row r="71" ht="17.25" customHeight="1">
      <c r="A71" s="102"/>
      <c r="B71" s="105" t="b">
        <v>0</v>
      </c>
      <c r="C71" s="107"/>
      <c r="D71" s="108"/>
      <c r="E71" s="108"/>
      <c r="F71" s="108"/>
      <c r="G71" s="113"/>
      <c r="H71" s="114"/>
    </row>
    <row r="72" ht="17.25" customHeight="1">
      <c r="A72" s="102"/>
      <c r="B72" s="105" t="b">
        <v>0</v>
      </c>
      <c r="C72" s="107"/>
      <c r="D72" s="108"/>
      <c r="E72" s="108"/>
      <c r="F72" s="108"/>
      <c r="G72" s="113"/>
      <c r="H72" s="114"/>
    </row>
    <row r="73" ht="17.25" customHeight="1">
      <c r="A73" s="102"/>
      <c r="B73" s="105" t="b">
        <v>0</v>
      </c>
      <c r="C73" s="107"/>
      <c r="D73" s="108"/>
      <c r="E73" s="108"/>
      <c r="F73" s="108"/>
      <c r="G73" s="113"/>
      <c r="H73" s="114"/>
    </row>
    <row r="74" ht="17.25" customHeight="1">
      <c r="A74" s="102"/>
      <c r="B74" s="105" t="b">
        <v>0</v>
      </c>
      <c r="C74" s="107"/>
      <c r="D74" s="108"/>
      <c r="E74" s="108"/>
      <c r="F74" s="108"/>
      <c r="G74" s="113"/>
      <c r="H74" s="114"/>
    </row>
    <row r="75" ht="17.25" customHeight="1">
      <c r="A75" s="102"/>
      <c r="B75" s="105" t="b">
        <v>0</v>
      </c>
      <c r="C75" s="107"/>
      <c r="D75" s="108"/>
      <c r="E75" s="108"/>
      <c r="F75" s="108"/>
      <c r="G75" s="113"/>
      <c r="H75" s="114"/>
    </row>
    <row r="76" ht="17.25" customHeight="1">
      <c r="A76" s="102"/>
      <c r="B76" s="105" t="b">
        <v>0</v>
      </c>
      <c r="C76" s="107"/>
      <c r="D76" s="108"/>
      <c r="E76" s="108"/>
      <c r="F76" s="108"/>
      <c r="G76" s="113"/>
      <c r="H76" s="114"/>
    </row>
    <row r="77" ht="17.25" customHeight="1">
      <c r="A77" s="102"/>
      <c r="B77" s="105" t="b">
        <v>0</v>
      </c>
      <c r="C77" s="107"/>
      <c r="D77" s="108"/>
      <c r="E77" s="108"/>
      <c r="F77" s="108"/>
      <c r="G77" s="113"/>
      <c r="H77" s="114"/>
    </row>
    <row r="78" ht="17.25" customHeight="1">
      <c r="A78" s="102"/>
      <c r="B78" s="105" t="b">
        <v>0</v>
      </c>
      <c r="C78" s="107"/>
      <c r="D78" s="108"/>
      <c r="E78" s="108"/>
      <c r="F78" s="108"/>
      <c r="G78" s="113"/>
      <c r="H78" s="114"/>
    </row>
    <row r="79" ht="17.25" customHeight="1">
      <c r="A79" s="102"/>
      <c r="B79" s="105" t="b">
        <v>0</v>
      </c>
      <c r="C79" s="107"/>
      <c r="D79" s="108"/>
      <c r="E79" s="108"/>
      <c r="F79" s="108"/>
      <c r="G79" s="113"/>
      <c r="H79" s="114"/>
    </row>
    <row r="80" ht="17.25" customHeight="1">
      <c r="A80" s="102"/>
      <c r="B80" s="105" t="b">
        <v>0</v>
      </c>
      <c r="C80" s="107"/>
      <c r="D80" s="108"/>
      <c r="E80" s="108"/>
      <c r="F80" s="108"/>
      <c r="G80" s="113"/>
      <c r="H80" s="114"/>
    </row>
    <row r="81" ht="17.25" customHeight="1">
      <c r="A81" s="102"/>
      <c r="B81" s="105" t="b">
        <v>0</v>
      </c>
      <c r="C81" s="107"/>
      <c r="D81" s="108"/>
      <c r="E81" s="108"/>
      <c r="F81" s="108"/>
      <c r="G81" s="113"/>
      <c r="H81" s="114"/>
    </row>
    <row r="82" ht="17.25" customHeight="1">
      <c r="A82" s="102"/>
      <c r="B82" s="105" t="b">
        <v>0</v>
      </c>
      <c r="C82" s="107"/>
      <c r="D82" s="108"/>
      <c r="E82" s="108"/>
      <c r="F82" s="108"/>
      <c r="G82" s="113"/>
      <c r="H82" s="114"/>
    </row>
    <row r="83" ht="17.25" customHeight="1">
      <c r="A83" s="102"/>
      <c r="B83" s="105" t="b">
        <v>0</v>
      </c>
      <c r="C83" s="107"/>
      <c r="D83" s="108"/>
      <c r="E83" s="108"/>
      <c r="F83" s="108"/>
      <c r="G83" s="113"/>
      <c r="H83" s="114"/>
    </row>
    <row r="84" ht="17.25" customHeight="1">
      <c r="A84" s="102"/>
      <c r="B84" s="105" t="b">
        <v>0</v>
      </c>
      <c r="C84" s="107"/>
      <c r="D84" s="108"/>
      <c r="E84" s="108"/>
      <c r="F84" s="108"/>
      <c r="G84" s="113"/>
      <c r="H84" s="114"/>
    </row>
    <row r="85" ht="17.25" customHeight="1">
      <c r="A85" s="102"/>
      <c r="B85" s="105" t="b">
        <v>0</v>
      </c>
      <c r="C85" s="107"/>
      <c r="D85" s="108"/>
      <c r="E85" s="108"/>
      <c r="F85" s="108"/>
      <c r="G85" s="113"/>
      <c r="H85" s="114"/>
    </row>
    <row r="86" ht="17.25" customHeight="1">
      <c r="A86" s="102"/>
      <c r="B86" s="105" t="b">
        <v>0</v>
      </c>
      <c r="C86" s="107"/>
      <c r="D86" s="108"/>
      <c r="E86" s="108"/>
      <c r="F86" s="108"/>
      <c r="G86" s="113"/>
      <c r="H86" s="114"/>
    </row>
    <row r="87" ht="17.25" customHeight="1">
      <c r="A87" s="102"/>
      <c r="B87" s="105" t="b">
        <v>0</v>
      </c>
      <c r="C87" s="107"/>
      <c r="D87" s="108"/>
      <c r="E87" s="108"/>
      <c r="F87" s="108"/>
      <c r="G87" s="113"/>
      <c r="H87" s="114"/>
    </row>
    <row r="88" ht="17.25" customHeight="1">
      <c r="A88" s="102"/>
      <c r="B88" s="105" t="b">
        <v>0</v>
      </c>
      <c r="C88" s="107"/>
      <c r="D88" s="108"/>
      <c r="E88" s="108"/>
      <c r="F88" s="108"/>
      <c r="G88" s="113"/>
      <c r="H88" s="114"/>
    </row>
    <row r="89" ht="17.25" customHeight="1">
      <c r="A89" s="102"/>
      <c r="B89" s="105" t="b">
        <v>0</v>
      </c>
      <c r="C89" s="107"/>
      <c r="D89" s="108"/>
      <c r="E89" s="108"/>
      <c r="F89" s="108"/>
      <c r="G89" s="113"/>
      <c r="H89" s="114"/>
    </row>
    <row r="90" ht="17.25" customHeight="1">
      <c r="A90" s="102"/>
      <c r="B90" s="105" t="b">
        <v>0</v>
      </c>
      <c r="C90" s="107"/>
      <c r="D90" s="108"/>
      <c r="E90" s="108"/>
      <c r="F90" s="108"/>
      <c r="G90" s="113"/>
      <c r="H90" s="114"/>
    </row>
    <row r="91" ht="17.25" customHeight="1">
      <c r="A91" s="102"/>
      <c r="B91" s="105" t="b">
        <v>0</v>
      </c>
      <c r="C91" s="107"/>
      <c r="D91" s="108"/>
      <c r="E91" s="108"/>
      <c r="F91" s="108"/>
      <c r="G91" s="113"/>
      <c r="H91" s="114"/>
    </row>
    <row r="92" ht="17.25" customHeight="1">
      <c r="A92" s="102"/>
      <c r="B92" s="105" t="b">
        <v>0</v>
      </c>
      <c r="C92" s="107"/>
      <c r="D92" s="108"/>
      <c r="E92" s="108"/>
      <c r="F92" s="108"/>
      <c r="G92" s="113"/>
      <c r="H92" s="114"/>
    </row>
    <row r="93" ht="17.25" customHeight="1">
      <c r="A93" s="102"/>
      <c r="B93" s="105" t="b">
        <v>0</v>
      </c>
      <c r="C93" s="107"/>
      <c r="D93" s="108"/>
      <c r="E93" s="108"/>
      <c r="F93" s="108"/>
      <c r="G93" s="113"/>
      <c r="H93" s="114"/>
    </row>
    <row r="94" ht="17.25" customHeight="1">
      <c r="A94" s="102"/>
      <c r="B94" s="105" t="b">
        <v>0</v>
      </c>
      <c r="C94" s="107"/>
      <c r="D94" s="108"/>
      <c r="E94" s="108"/>
      <c r="F94" s="108"/>
      <c r="G94" s="113"/>
      <c r="H94" s="114"/>
    </row>
    <row r="95" ht="17.25" customHeight="1">
      <c r="A95" s="102"/>
      <c r="B95" s="105" t="b">
        <v>0</v>
      </c>
      <c r="C95" s="107"/>
      <c r="D95" s="108"/>
      <c r="E95" s="108"/>
      <c r="F95" s="108"/>
      <c r="G95" s="113"/>
      <c r="H95" s="114"/>
    </row>
    <row r="96" ht="17.25" customHeight="1">
      <c r="A96" s="102"/>
      <c r="B96" s="105" t="b">
        <v>0</v>
      </c>
      <c r="C96" s="107"/>
      <c r="D96" s="108"/>
      <c r="E96" s="108"/>
      <c r="F96" s="108"/>
      <c r="G96" s="113"/>
      <c r="H96" s="114"/>
    </row>
    <row r="97" ht="17.25" customHeight="1">
      <c r="A97" s="102"/>
      <c r="B97" s="105" t="b">
        <v>0</v>
      </c>
      <c r="C97" s="107"/>
      <c r="D97" s="108"/>
      <c r="E97" s="108"/>
      <c r="F97" s="108"/>
      <c r="G97" s="113"/>
      <c r="H97" s="114"/>
    </row>
    <row r="98" ht="17.25" customHeight="1">
      <c r="A98" s="102"/>
      <c r="B98" s="105" t="b">
        <v>0</v>
      </c>
      <c r="C98" s="107"/>
      <c r="D98" s="108"/>
      <c r="E98" s="108"/>
      <c r="F98" s="108"/>
      <c r="G98" s="113"/>
      <c r="H98" s="114"/>
    </row>
    <row r="99" ht="17.25" customHeight="1">
      <c r="A99" s="102"/>
      <c r="B99" s="105" t="b">
        <v>0</v>
      </c>
      <c r="C99" s="107"/>
      <c r="D99" s="108"/>
      <c r="E99" s="108"/>
      <c r="F99" s="108"/>
      <c r="G99" s="113"/>
      <c r="H99" s="114"/>
    </row>
    <row r="100" ht="17.25" customHeight="1">
      <c r="A100" s="102"/>
      <c r="B100" s="105" t="b">
        <v>0</v>
      </c>
      <c r="C100" s="107"/>
      <c r="D100" s="108"/>
      <c r="E100" s="108"/>
      <c r="F100" s="108"/>
      <c r="G100" s="113"/>
      <c r="H100" s="114"/>
    </row>
    <row r="101" ht="17.25" customHeight="1">
      <c r="A101" s="102"/>
      <c r="B101" s="105" t="b">
        <v>0</v>
      </c>
      <c r="C101" s="107"/>
      <c r="D101" s="108"/>
      <c r="E101" s="108"/>
      <c r="F101" s="108"/>
      <c r="G101" s="113"/>
      <c r="H101" s="114"/>
    </row>
    <row r="102" ht="17.25" customHeight="1">
      <c r="A102" s="102"/>
      <c r="B102" s="105" t="b">
        <v>0</v>
      </c>
      <c r="C102" s="107"/>
      <c r="D102" s="108"/>
      <c r="E102" s="108"/>
      <c r="F102" s="108"/>
      <c r="G102" s="113"/>
      <c r="H102" s="114"/>
    </row>
    <row r="103" ht="17.25" customHeight="1">
      <c r="A103" s="102"/>
      <c r="B103" s="105" t="b">
        <v>0</v>
      </c>
      <c r="C103" s="107"/>
      <c r="D103" s="108"/>
      <c r="E103" s="108"/>
      <c r="F103" s="108"/>
      <c r="G103" s="113"/>
      <c r="H103" s="114"/>
    </row>
    <row r="104" ht="17.25" customHeight="1">
      <c r="A104" s="102"/>
      <c r="B104" s="105" t="b">
        <v>0</v>
      </c>
      <c r="C104" s="107"/>
      <c r="D104" s="108"/>
      <c r="E104" s="108"/>
      <c r="F104" s="108"/>
      <c r="G104" s="113"/>
      <c r="H104" s="114"/>
    </row>
    <row r="105" ht="17.25" customHeight="1">
      <c r="A105" s="102"/>
      <c r="B105" s="105" t="b">
        <v>0</v>
      </c>
      <c r="C105" s="107"/>
      <c r="D105" s="108"/>
      <c r="E105" s="108"/>
      <c r="F105" s="108"/>
      <c r="G105" s="113"/>
      <c r="H105" s="114"/>
    </row>
    <row r="106" ht="17.25" customHeight="1">
      <c r="A106" s="102"/>
      <c r="B106" s="105" t="b">
        <v>0</v>
      </c>
      <c r="C106" s="107"/>
      <c r="D106" s="108"/>
      <c r="E106" s="108"/>
      <c r="F106" s="108"/>
      <c r="G106" s="113"/>
      <c r="H106" s="114"/>
    </row>
    <row r="107" ht="17.25" customHeight="1">
      <c r="A107" s="102"/>
      <c r="B107" s="105" t="b">
        <v>0</v>
      </c>
      <c r="C107" s="107"/>
      <c r="D107" s="108"/>
      <c r="E107" s="108"/>
      <c r="F107" s="108"/>
      <c r="G107" s="113"/>
      <c r="H107" s="114"/>
    </row>
    <row r="108" ht="17.25" customHeight="1">
      <c r="A108" s="102"/>
      <c r="B108" s="105" t="b">
        <v>0</v>
      </c>
      <c r="C108" s="107"/>
      <c r="D108" s="108"/>
      <c r="E108" s="108"/>
      <c r="F108" s="108"/>
      <c r="G108" s="113"/>
      <c r="H108" s="114"/>
    </row>
    <row r="109" ht="17.25" customHeight="1">
      <c r="A109" s="102"/>
      <c r="B109" s="105" t="b">
        <v>0</v>
      </c>
      <c r="C109" s="107"/>
      <c r="D109" s="108"/>
      <c r="E109" s="108"/>
      <c r="F109" s="108"/>
      <c r="G109" s="113"/>
      <c r="H109" s="114"/>
    </row>
    <row r="110" ht="17.25" customHeight="1">
      <c r="A110" s="102"/>
      <c r="B110" s="105" t="b">
        <v>0</v>
      </c>
      <c r="C110" s="107"/>
      <c r="D110" s="108"/>
      <c r="E110" s="108"/>
      <c r="F110" s="108"/>
      <c r="G110" s="113"/>
      <c r="H110" s="114"/>
    </row>
    <row r="111" ht="17.25" customHeight="1">
      <c r="A111" s="102"/>
      <c r="B111" s="105" t="b">
        <v>0</v>
      </c>
      <c r="C111" s="107"/>
      <c r="D111" s="108"/>
      <c r="E111" s="108"/>
      <c r="F111" s="108"/>
      <c r="G111" s="113"/>
      <c r="H111" s="114"/>
    </row>
    <row r="112" ht="17.25" customHeight="1">
      <c r="A112" s="102"/>
      <c r="B112" s="105" t="b">
        <v>0</v>
      </c>
      <c r="C112" s="107"/>
      <c r="D112" s="108"/>
      <c r="E112" s="108"/>
      <c r="F112" s="108"/>
      <c r="G112" s="113"/>
      <c r="H112" s="114"/>
    </row>
    <row r="113" ht="17.25" customHeight="1">
      <c r="A113" s="102"/>
      <c r="B113" s="105" t="b">
        <v>0</v>
      </c>
      <c r="C113" s="107"/>
      <c r="D113" s="108"/>
      <c r="E113" s="108"/>
      <c r="F113" s="108"/>
      <c r="G113" s="113"/>
      <c r="H113" s="114"/>
    </row>
    <row r="114" ht="17.25" customHeight="1">
      <c r="A114" s="102"/>
      <c r="B114" s="105" t="b">
        <v>0</v>
      </c>
      <c r="C114" s="107"/>
      <c r="D114" s="108"/>
      <c r="E114" s="108"/>
      <c r="F114" s="108"/>
      <c r="G114" s="113"/>
      <c r="H114" s="114"/>
    </row>
    <row r="115" ht="17.25" customHeight="1">
      <c r="A115" s="102"/>
      <c r="B115" s="105" t="b">
        <v>0</v>
      </c>
      <c r="C115" s="107"/>
      <c r="D115" s="108"/>
      <c r="E115" s="108"/>
      <c r="F115" s="108"/>
      <c r="G115" s="113"/>
      <c r="H115" s="114"/>
    </row>
    <row r="116" ht="17.25" customHeight="1">
      <c r="A116" s="102"/>
      <c r="B116" s="105" t="b">
        <v>0</v>
      </c>
      <c r="C116" s="107"/>
      <c r="D116" s="108"/>
      <c r="E116" s="108"/>
      <c r="F116" s="108"/>
      <c r="G116" s="113"/>
      <c r="H116" s="114"/>
    </row>
    <row r="117" ht="17.25" customHeight="1">
      <c r="A117" s="102"/>
      <c r="B117" s="105" t="b">
        <v>0</v>
      </c>
      <c r="C117" s="107"/>
      <c r="D117" s="108"/>
      <c r="E117" s="108"/>
      <c r="F117" s="108"/>
      <c r="G117" s="113"/>
      <c r="H117" s="114"/>
    </row>
    <row r="118" ht="17.25" customHeight="1">
      <c r="A118" s="102"/>
      <c r="B118" s="105" t="b">
        <v>0</v>
      </c>
      <c r="C118" s="107"/>
      <c r="D118" s="108"/>
      <c r="E118" s="108"/>
      <c r="F118" s="108"/>
      <c r="G118" s="113"/>
      <c r="H118" s="114"/>
    </row>
    <row r="119" ht="17.25" customHeight="1">
      <c r="A119" s="102"/>
      <c r="B119" s="105" t="b">
        <v>0</v>
      </c>
      <c r="C119" s="107"/>
      <c r="D119" s="108"/>
      <c r="E119" s="108"/>
      <c r="F119" s="108"/>
      <c r="G119" s="113"/>
      <c r="H119" s="114"/>
    </row>
    <row r="120" ht="17.25" customHeight="1">
      <c r="A120" s="102"/>
      <c r="B120" s="105" t="b">
        <v>0</v>
      </c>
      <c r="C120" s="107"/>
      <c r="D120" s="108"/>
      <c r="E120" s="108"/>
      <c r="F120" s="108"/>
      <c r="G120" s="113"/>
      <c r="H120" s="114"/>
    </row>
    <row r="121" ht="17.25" customHeight="1">
      <c r="A121" s="102"/>
      <c r="B121" s="105" t="b">
        <v>0</v>
      </c>
      <c r="C121" s="107"/>
      <c r="D121" s="108"/>
      <c r="E121" s="108"/>
      <c r="F121" s="108"/>
      <c r="G121" s="113"/>
      <c r="H121" s="114"/>
    </row>
    <row r="122" ht="17.25" customHeight="1">
      <c r="A122" s="102"/>
      <c r="B122" s="105" t="b">
        <v>0</v>
      </c>
      <c r="C122" s="107"/>
      <c r="D122" s="108"/>
      <c r="E122" s="108"/>
      <c r="F122" s="108"/>
      <c r="G122" s="113"/>
      <c r="H122" s="114"/>
    </row>
    <row r="123" ht="17.25" customHeight="1">
      <c r="A123" s="102"/>
      <c r="B123" s="105" t="b">
        <v>0</v>
      </c>
      <c r="C123" s="107"/>
      <c r="D123" s="108"/>
      <c r="E123" s="108"/>
      <c r="F123" s="108"/>
      <c r="G123" s="113"/>
      <c r="H123" s="114"/>
    </row>
    <row r="124" ht="17.25" customHeight="1">
      <c r="A124" s="102"/>
      <c r="B124" s="105" t="b">
        <v>0</v>
      </c>
      <c r="C124" s="107"/>
      <c r="D124" s="108"/>
      <c r="E124" s="108"/>
      <c r="F124" s="108"/>
      <c r="G124" s="113"/>
      <c r="H124" s="114"/>
    </row>
    <row r="125" ht="17.25" customHeight="1">
      <c r="A125" s="102"/>
      <c r="B125" s="105" t="b">
        <v>0</v>
      </c>
      <c r="C125" s="107"/>
      <c r="D125" s="108"/>
      <c r="E125" s="108"/>
      <c r="F125" s="108"/>
      <c r="G125" s="113"/>
      <c r="H125" s="114"/>
    </row>
    <row r="126" ht="17.25" customHeight="1">
      <c r="A126" s="102"/>
      <c r="B126" s="105" t="b">
        <v>0</v>
      </c>
      <c r="C126" s="107"/>
      <c r="D126" s="108"/>
      <c r="E126" s="108"/>
      <c r="F126" s="108"/>
      <c r="G126" s="113"/>
      <c r="H126" s="114"/>
    </row>
    <row r="127" ht="17.25" customHeight="1">
      <c r="A127" s="102"/>
      <c r="B127" s="105" t="b">
        <v>0</v>
      </c>
      <c r="C127" s="107"/>
      <c r="D127" s="108"/>
      <c r="E127" s="108"/>
      <c r="F127" s="108"/>
      <c r="G127" s="113"/>
      <c r="H127" s="114"/>
    </row>
    <row r="128" ht="17.25" customHeight="1">
      <c r="A128" s="102"/>
      <c r="B128" s="105" t="b">
        <v>0</v>
      </c>
      <c r="C128" s="107"/>
      <c r="D128" s="108"/>
      <c r="E128" s="108"/>
      <c r="F128" s="108"/>
      <c r="G128" s="113"/>
      <c r="H128" s="114"/>
    </row>
    <row r="129" ht="17.25" customHeight="1">
      <c r="A129" s="102"/>
      <c r="B129" s="105" t="b">
        <v>0</v>
      </c>
      <c r="C129" s="107"/>
      <c r="D129" s="108"/>
      <c r="E129" s="108"/>
      <c r="F129" s="108"/>
      <c r="G129" s="113"/>
      <c r="H129" s="114"/>
    </row>
    <row r="130" ht="17.25" customHeight="1">
      <c r="A130" s="102"/>
      <c r="B130" s="105" t="b">
        <v>0</v>
      </c>
      <c r="C130" s="107"/>
      <c r="D130" s="108"/>
      <c r="E130" s="108"/>
      <c r="F130" s="108"/>
      <c r="G130" s="113"/>
      <c r="H130" s="114"/>
    </row>
    <row r="131" ht="17.25" customHeight="1">
      <c r="A131" s="102"/>
      <c r="B131" s="105" t="b">
        <v>0</v>
      </c>
      <c r="C131" s="107"/>
      <c r="D131" s="108"/>
      <c r="E131" s="108"/>
      <c r="F131" s="108"/>
      <c r="G131" s="113"/>
      <c r="H131" s="114"/>
    </row>
    <row r="132" ht="17.25" customHeight="1">
      <c r="A132" s="102"/>
      <c r="B132" s="105" t="b">
        <v>0</v>
      </c>
      <c r="C132" s="107"/>
      <c r="D132" s="108"/>
      <c r="E132" s="108"/>
      <c r="F132" s="108"/>
      <c r="G132" s="113"/>
      <c r="H132" s="114"/>
    </row>
    <row r="133" ht="17.25" customHeight="1">
      <c r="A133" s="102"/>
      <c r="B133" s="105" t="b">
        <v>0</v>
      </c>
      <c r="C133" s="107"/>
      <c r="D133" s="108"/>
      <c r="E133" s="108"/>
      <c r="F133" s="108"/>
      <c r="G133" s="113"/>
      <c r="H133" s="114"/>
    </row>
    <row r="134" ht="17.25" customHeight="1">
      <c r="A134" s="102"/>
      <c r="B134" s="105" t="b">
        <v>0</v>
      </c>
      <c r="C134" s="107"/>
      <c r="D134" s="108"/>
      <c r="E134" s="108"/>
      <c r="F134" s="108"/>
      <c r="G134" s="113"/>
      <c r="H134" s="114"/>
    </row>
    <row r="135" ht="17.25" customHeight="1">
      <c r="A135" s="102"/>
      <c r="B135" s="105" t="b">
        <v>0</v>
      </c>
      <c r="C135" s="107"/>
      <c r="D135" s="108"/>
      <c r="E135" s="108"/>
      <c r="F135" s="108"/>
      <c r="G135" s="113"/>
      <c r="H135" s="114"/>
    </row>
    <row r="136" ht="17.25" customHeight="1">
      <c r="A136" s="102"/>
      <c r="B136" s="105" t="b">
        <v>0</v>
      </c>
      <c r="C136" s="107"/>
      <c r="D136" s="108"/>
      <c r="E136" s="108"/>
      <c r="F136" s="108"/>
      <c r="G136" s="113"/>
      <c r="H136" s="114"/>
    </row>
    <row r="137" ht="17.25" customHeight="1">
      <c r="A137" s="102"/>
      <c r="B137" s="105" t="b">
        <v>0</v>
      </c>
      <c r="C137" s="107"/>
      <c r="D137" s="108"/>
      <c r="E137" s="108"/>
      <c r="F137" s="108"/>
      <c r="G137" s="113"/>
      <c r="H137" s="114"/>
    </row>
    <row r="138" ht="17.25" customHeight="1">
      <c r="A138" s="102"/>
      <c r="B138" s="105" t="b">
        <v>0</v>
      </c>
      <c r="C138" s="107"/>
      <c r="D138" s="108"/>
      <c r="E138" s="108"/>
      <c r="F138" s="108"/>
      <c r="G138" s="113"/>
      <c r="H138" s="114"/>
    </row>
    <row r="139" ht="17.25" customHeight="1">
      <c r="A139" s="102"/>
      <c r="B139" s="105" t="b">
        <v>0</v>
      </c>
      <c r="C139" s="107"/>
      <c r="D139" s="108"/>
      <c r="E139" s="108"/>
      <c r="F139" s="108"/>
      <c r="G139" s="113"/>
      <c r="H139" s="114"/>
    </row>
    <row r="140" ht="17.25" customHeight="1">
      <c r="A140" s="102"/>
      <c r="B140" s="105" t="b">
        <v>0</v>
      </c>
      <c r="C140" s="107"/>
      <c r="D140" s="108"/>
      <c r="E140" s="108"/>
      <c r="F140" s="108"/>
      <c r="G140" s="113"/>
      <c r="H140" s="114"/>
    </row>
    <row r="141" ht="17.25" customHeight="1">
      <c r="A141" s="102"/>
      <c r="B141" s="105" t="b">
        <v>0</v>
      </c>
      <c r="C141" s="107"/>
      <c r="D141" s="108"/>
      <c r="E141" s="108"/>
      <c r="F141" s="108"/>
      <c r="G141" s="113"/>
      <c r="H141" s="114"/>
    </row>
    <row r="142" ht="17.25" customHeight="1">
      <c r="A142" s="102"/>
      <c r="B142" s="105" t="b">
        <v>0</v>
      </c>
      <c r="C142" s="107"/>
      <c r="D142" s="108"/>
      <c r="E142" s="108"/>
      <c r="F142" s="108"/>
      <c r="G142" s="113"/>
      <c r="H142" s="114"/>
    </row>
    <row r="143" ht="17.25" customHeight="1">
      <c r="A143" s="102"/>
      <c r="B143" s="105" t="b">
        <v>0</v>
      </c>
      <c r="C143" s="107"/>
      <c r="D143" s="108"/>
      <c r="E143" s="108"/>
      <c r="F143" s="108"/>
      <c r="G143" s="113"/>
      <c r="H143" s="114"/>
    </row>
    <row r="144" ht="17.25" customHeight="1">
      <c r="A144" s="102"/>
      <c r="B144" s="105" t="b">
        <v>0</v>
      </c>
      <c r="C144" s="107"/>
      <c r="D144" s="108"/>
      <c r="E144" s="108"/>
      <c r="F144" s="108"/>
      <c r="G144" s="113"/>
      <c r="H144" s="114"/>
    </row>
    <row r="145" ht="17.25" customHeight="1">
      <c r="A145" s="102"/>
      <c r="B145" s="105" t="b">
        <v>0</v>
      </c>
      <c r="C145" s="107"/>
      <c r="D145" s="108"/>
      <c r="E145" s="108"/>
      <c r="F145" s="108"/>
      <c r="G145" s="113"/>
      <c r="H145" s="114"/>
    </row>
    <row r="146" ht="17.25" customHeight="1">
      <c r="A146" s="102"/>
      <c r="B146" s="105" t="b">
        <v>0</v>
      </c>
      <c r="C146" s="107"/>
      <c r="D146" s="108"/>
      <c r="E146" s="108"/>
      <c r="F146" s="108"/>
      <c r="G146" s="113"/>
      <c r="H146" s="114"/>
    </row>
    <row r="147" ht="17.25" customHeight="1">
      <c r="A147" s="102"/>
      <c r="B147" s="105" t="b">
        <v>0</v>
      </c>
      <c r="C147" s="107"/>
      <c r="D147" s="108"/>
      <c r="E147" s="108"/>
      <c r="F147" s="108"/>
      <c r="G147" s="113"/>
      <c r="H147" s="114"/>
    </row>
    <row r="148" ht="17.25" customHeight="1">
      <c r="A148" s="102"/>
      <c r="B148" s="105" t="b">
        <v>0</v>
      </c>
      <c r="C148" s="107"/>
      <c r="D148" s="108"/>
      <c r="E148" s="108"/>
      <c r="F148" s="108"/>
      <c r="G148" s="113"/>
      <c r="H148" s="114"/>
    </row>
    <row r="149" ht="17.25" customHeight="1">
      <c r="A149" s="102"/>
      <c r="B149" s="105" t="b">
        <v>0</v>
      </c>
      <c r="C149" s="107"/>
      <c r="D149" s="108"/>
      <c r="E149" s="108"/>
      <c r="F149" s="108"/>
      <c r="G149" s="113"/>
      <c r="H149" s="114"/>
    </row>
    <row r="150" ht="17.25" customHeight="1">
      <c r="A150" s="102"/>
      <c r="B150" s="105" t="b">
        <v>0</v>
      </c>
      <c r="C150" s="107"/>
      <c r="D150" s="108"/>
      <c r="E150" s="108"/>
      <c r="F150" s="108"/>
      <c r="G150" s="113"/>
      <c r="H150" s="114"/>
    </row>
    <row r="151" ht="17.25" customHeight="1">
      <c r="A151" s="102"/>
      <c r="B151" s="105" t="b">
        <v>0</v>
      </c>
      <c r="C151" s="107"/>
      <c r="D151" s="108"/>
      <c r="E151" s="108"/>
      <c r="F151" s="108"/>
      <c r="G151" s="113"/>
      <c r="H151" s="114"/>
    </row>
    <row r="152" ht="17.25" customHeight="1">
      <c r="A152" s="102"/>
      <c r="B152" s="105" t="b">
        <v>0</v>
      </c>
      <c r="C152" s="107"/>
      <c r="D152" s="108"/>
      <c r="E152" s="108"/>
      <c r="F152" s="108"/>
      <c r="G152" s="113"/>
      <c r="H152" s="114"/>
    </row>
    <row r="153" ht="17.25" customHeight="1">
      <c r="A153" s="102"/>
      <c r="B153" s="105" t="b">
        <v>0</v>
      </c>
      <c r="C153" s="107"/>
      <c r="D153" s="108"/>
      <c r="E153" s="108"/>
      <c r="F153" s="108"/>
      <c r="G153" s="113"/>
      <c r="H153" s="114"/>
    </row>
    <row r="154" ht="17.25" customHeight="1">
      <c r="A154" s="102"/>
      <c r="B154" s="105" t="b">
        <v>0</v>
      </c>
      <c r="C154" s="107"/>
      <c r="D154" s="108"/>
      <c r="E154" s="108"/>
      <c r="F154" s="108"/>
      <c r="G154" s="113"/>
      <c r="H154" s="114"/>
    </row>
    <row r="155" ht="17.25" customHeight="1">
      <c r="A155" s="102"/>
      <c r="B155" s="105" t="b">
        <v>0</v>
      </c>
      <c r="C155" s="107"/>
      <c r="D155" s="108"/>
      <c r="E155" s="108"/>
      <c r="F155" s="108"/>
      <c r="G155" s="113"/>
      <c r="H155" s="114"/>
    </row>
    <row r="156" ht="17.25" customHeight="1">
      <c r="A156" s="102"/>
      <c r="B156" s="105" t="b">
        <v>0</v>
      </c>
      <c r="C156" s="107"/>
      <c r="D156" s="108"/>
      <c r="E156" s="108"/>
      <c r="F156" s="108"/>
      <c r="G156" s="113"/>
      <c r="H156" s="114"/>
    </row>
    <row r="157" ht="17.25" customHeight="1">
      <c r="A157" s="102"/>
      <c r="B157" s="105" t="b">
        <v>0</v>
      </c>
      <c r="C157" s="107"/>
      <c r="D157" s="108"/>
      <c r="E157" s="108"/>
      <c r="F157" s="108"/>
      <c r="G157" s="113"/>
      <c r="H157" s="114"/>
    </row>
    <row r="158" ht="17.25" customHeight="1">
      <c r="A158" s="102"/>
      <c r="B158" s="105" t="b">
        <v>0</v>
      </c>
      <c r="C158" s="107"/>
      <c r="D158" s="108"/>
      <c r="E158" s="108"/>
      <c r="F158" s="108"/>
      <c r="G158" s="113"/>
      <c r="H158" s="114"/>
    </row>
    <row r="159" ht="17.25" customHeight="1">
      <c r="A159" s="102"/>
      <c r="B159" s="105" t="b">
        <v>0</v>
      </c>
      <c r="C159" s="107"/>
      <c r="D159" s="108"/>
      <c r="E159" s="108"/>
      <c r="F159" s="108"/>
      <c r="G159" s="113"/>
      <c r="H159" s="114"/>
    </row>
    <row r="160" ht="17.25" customHeight="1">
      <c r="A160" s="102"/>
      <c r="B160" s="105" t="b">
        <v>0</v>
      </c>
      <c r="C160" s="107"/>
      <c r="D160" s="108"/>
      <c r="E160" s="108"/>
      <c r="F160" s="108"/>
      <c r="G160" s="113"/>
      <c r="H160" s="114"/>
    </row>
    <row r="161" ht="17.25" customHeight="1">
      <c r="A161" s="102"/>
      <c r="B161" s="105" t="b">
        <v>0</v>
      </c>
      <c r="C161" s="107"/>
      <c r="D161" s="108"/>
      <c r="E161" s="108"/>
      <c r="F161" s="108"/>
      <c r="G161" s="113"/>
      <c r="H161" s="114"/>
    </row>
    <row r="162" ht="17.25" customHeight="1">
      <c r="A162" s="102"/>
      <c r="B162" s="105" t="b">
        <v>0</v>
      </c>
      <c r="C162" s="107"/>
      <c r="D162" s="108"/>
      <c r="E162" s="108"/>
      <c r="F162" s="108"/>
      <c r="G162" s="113"/>
      <c r="H162" s="114"/>
    </row>
    <row r="163" ht="17.25" customHeight="1">
      <c r="A163" s="102"/>
      <c r="B163" s="105" t="b">
        <v>0</v>
      </c>
      <c r="C163" s="107"/>
      <c r="D163" s="108"/>
      <c r="E163" s="108"/>
      <c r="F163" s="108"/>
      <c r="G163" s="113"/>
      <c r="H163" s="114"/>
    </row>
    <row r="164" ht="17.25" customHeight="1">
      <c r="A164" s="102"/>
      <c r="B164" s="105" t="b">
        <v>0</v>
      </c>
      <c r="C164" s="107"/>
      <c r="D164" s="108"/>
      <c r="E164" s="108"/>
      <c r="F164" s="108"/>
      <c r="G164" s="113"/>
      <c r="H164" s="114"/>
    </row>
    <row r="165" ht="17.25" customHeight="1">
      <c r="A165" s="102"/>
      <c r="B165" s="105" t="b">
        <v>0</v>
      </c>
      <c r="C165" s="107"/>
      <c r="D165" s="108"/>
      <c r="E165" s="108"/>
      <c r="F165" s="108"/>
      <c r="G165" s="113"/>
      <c r="H165" s="114"/>
    </row>
    <row r="166" ht="17.25" customHeight="1">
      <c r="A166" s="102"/>
      <c r="B166" s="105" t="b">
        <v>0</v>
      </c>
      <c r="C166" s="107"/>
      <c r="D166" s="108"/>
      <c r="E166" s="108"/>
      <c r="F166" s="108"/>
      <c r="G166" s="113"/>
      <c r="H166" s="114"/>
    </row>
    <row r="167" ht="17.25" customHeight="1">
      <c r="A167" s="102"/>
      <c r="B167" s="105" t="b">
        <v>0</v>
      </c>
      <c r="C167" s="107"/>
      <c r="D167" s="108"/>
      <c r="E167" s="108"/>
      <c r="F167" s="108"/>
      <c r="G167" s="113"/>
      <c r="H167" s="114"/>
    </row>
    <row r="168" ht="17.25" customHeight="1">
      <c r="A168" s="102"/>
      <c r="B168" s="105" t="b">
        <v>0</v>
      </c>
      <c r="C168" s="107"/>
      <c r="D168" s="108"/>
      <c r="E168" s="108"/>
      <c r="F168" s="108"/>
      <c r="G168" s="113"/>
      <c r="H168" s="114"/>
    </row>
    <row r="169" ht="17.25" customHeight="1">
      <c r="A169" s="102"/>
      <c r="B169" s="105" t="b">
        <v>0</v>
      </c>
      <c r="C169" s="107"/>
      <c r="D169" s="108"/>
      <c r="E169" s="108"/>
      <c r="F169" s="108"/>
      <c r="G169" s="113"/>
      <c r="H169" s="114"/>
    </row>
    <row r="170" ht="17.25" customHeight="1">
      <c r="A170" s="102"/>
      <c r="B170" s="105" t="b">
        <v>0</v>
      </c>
      <c r="C170" s="107"/>
      <c r="D170" s="108"/>
      <c r="E170" s="108"/>
      <c r="F170" s="108"/>
      <c r="G170" s="113"/>
      <c r="H170" s="114"/>
    </row>
    <row r="171" ht="17.25" customHeight="1">
      <c r="A171" s="102"/>
      <c r="B171" s="105" t="b">
        <v>0</v>
      </c>
      <c r="C171" s="107"/>
      <c r="D171" s="108"/>
      <c r="E171" s="108"/>
      <c r="F171" s="108"/>
      <c r="G171" s="113"/>
      <c r="H171" s="114"/>
    </row>
    <row r="172" ht="17.25" customHeight="1">
      <c r="A172" s="102"/>
      <c r="B172" s="105" t="b">
        <v>0</v>
      </c>
      <c r="C172" s="107"/>
      <c r="D172" s="108"/>
      <c r="E172" s="108"/>
      <c r="F172" s="108"/>
      <c r="G172" s="113"/>
      <c r="H172" s="114"/>
    </row>
    <row r="173" ht="17.25" customHeight="1">
      <c r="A173" s="102"/>
      <c r="B173" s="105" t="b">
        <v>0</v>
      </c>
      <c r="C173" s="107"/>
      <c r="D173" s="108"/>
      <c r="E173" s="108"/>
      <c r="F173" s="108"/>
      <c r="G173" s="113"/>
      <c r="H173" s="114"/>
    </row>
    <row r="174" ht="17.25" customHeight="1">
      <c r="A174" s="102"/>
      <c r="B174" s="105" t="b">
        <v>0</v>
      </c>
      <c r="C174" s="107"/>
      <c r="D174" s="108"/>
      <c r="E174" s="108"/>
      <c r="F174" s="108"/>
      <c r="G174" s="113"/>
      <c r="H174" s="114"/>
    </row>
    <row r="175" ht="17.25" customHeight="1">
      <c r="A175" s="102"/>
      <c r="B175" s="105" t="b">
        <v>0</v>
      </c>
      <c r="C175" s="107"/>
      <c r="D175" s="108"/>
      <c r="E175" s="108"/>
      <c r="F175" s="108"/>
      <c r="G175" s="113"/>
      <c r="H175" s="114"/>
    </row>
    <row r="176" ht="17.25" customHeight="1">
      <c r="A176" s="102"/>
      <c r="B176" s="105" t="b">
        <v>0</v>
      </c>
      <c r="C176" s="107"/>
      <c r="D176" s="108"/>
      <c r="E176" s="108"/>
      <c r="F176" s="108"/>
      <c r="G176" s="113"/>
      <c r="H176" s="114"/>
    </row>
    <row r="177" ht="17.25" customHeight="1">
      <c r="A177" s="102"/>
      <c r="B177" s="105" t="b">
        <v>0</v>
      </c>
      <c r="C177" s="107"/>
      <c r="D177" s="108"/>
      <c r="E177" s="108"/>
      <c r="F177" s="108"/>
      <c r="G177" s="113"/>
      <c r="H177" s="114"/>
    </row>
    <row r="178" ht="17.25" customHeight="1">
      <c r="A178" s="102"/>
      <c r="B178" s="105" t="b">
        <v>0</v>
      </c>
      <c r="C178" s="107"/>
      <c r="D178" s="108"/>
      <c r="E178" s="108"/>
      <c r="F178" s="108"/>
      <c r="G178" s="113"/>
      <c r="H178" s="114"/>
    </row>
    <row r="179" ht="17.25" customHeight="1">
      <c r="A179" s="102"/>
      <c r="B179" s="105" t="b">
        <v>0</v>
      </c>
      <c r="C179" s="107"/>
      <c r="D179" s="108"/>
      <c r="E179" s="108"/>
      <c r="F179" s="108"/>
      <c r="G179" s="113"/>
      <c r="H179" s="114"/>
    </row>
    <row r="180" ht="17.25" customHeight="1">
      <c r="A180" s="102"/>
      <c r="B180" s="105" t="b">
        <v>0</v>
      </c>
      <c r="C180" s="107"/>
      <c r="D180" s="108"/>
      <c r="E180" s="108"/>
      <c r="F180" s="108"/>
      <c r="G180" s="113"/>
      <c r="H180" s="114"/>
    </row>
    <row r="181" ht="17.25" customHeight="1">
      <c r="A181" s="102"/>
      <c r="B181" s="105" t="b">
        <v>0</v>
      </c>
      <c r="C181" s="107"/>
      <c r="D181" s="108"/>
      <c r="E181" s="108"/>
      <c r="F181" s="108"/>
      <c r="G181" s="113"/>
      <c r="H181" s="114"/>
    </row>
    <row r="182" ht="17.25" customHeight="1">
      <c r="A182" s="102"/>
      <c r="B182" s="105" t="b">
        <v>0</v>
      </c>
      <c r="C182" s="107"/>
      <c r="D182" s="108"/>
      <c r="E182" s="108"/>
      <c r="F182" s="108"/>
      <c r="G182" s="113"/>
      <c r="H182" s="114"/>
    </row>
    <row r="183" ht="17.25" customHeight="1">
      <c r="A183" s="102"/>
      <c r="B183" s="105" t="b">
        <v>0</v>
      </c>
      <c r="C183" s="107"/>
      <c r="D183" s="108"/>
      <c r="E183" s="108"/>
      <c r="F183" s="108"/>
      <c r="G183" s="113"/>
      <c r="H183" s="114"/>
    </row>
    <row r="184" ht="17.25" customHeight="1">
      <c r="A184" s="102"/>
      <c r="B184" s="105" t="b">
        <v>0</v>
      </c>
      <c r="C184" s="107"/>
      <c r="D184" s="108"/>
      <c r="E184" s="108"/>
      <c r="F184" s="108"/>
      <c r="G184" s="113"/>
      <c r="H184" s="114"/>
    </row>
    <row r="185" ht="17.25" customHeight="1">
      <c r="A185" s="102"/>
      <c r="B185" s="105" t="b">
        <v>0</v>
      </c>
      <c r="C185" s="107"/>
      <c r="D185" s="108"/>
      <c r="E185" s="108"/>
      <c r="F185" s="108"/>
      <c r="G185" s="113"/>
      <c r="H185" s="114"/>
    </row>
    <row r="186" ht="17.25" customHeight="1">
      <c r="A186" s="102"/>
      <c r="B186" s="105" t="b">
        <v>0</v>
      </c>
      <c r="C186" s="107"/>
      <c r="D186" s="108"/>
      <c r="E186" s="108"/>
      <c r="F186" s="108"/>
      <c r="G186" s="113"/>
      <c r="H186" s="114"/>
    </row>
    <row r="187" ht="17.25" customHeight="1">
      <c r="A187" s="102"/>
      <c r="B187" s="105" t="b">
        <v>0</v>
      </c>
      <c r="C187" s="107"/>
      <c r="D187" s="108"/>
      <c r="E187" s="108"/>
      <c r="F187" s="108"/>
      <c r="G187" s="113"/>
      <c r="H187" s="114"/>
    </row>
    <row r="188" ht="17.25" customHeight="1">
      <c r="A188" s="102"/>
      <c r="B188" s="105" t="b">
        <v>0</v>
      </c>
      <c r="C188" s="107"/>
      <c r="D188" s="108"/>
      <c r="E188" s="108"/>
      <c r="F188" s="108"/>
      <c r="G188" s="113"/>
      <c r="H188" s="114"/>
    </row>
    <row r="189" ht="17.25" customHeight="1">
      <c r="A189" s="102"/>
      <c r="B189" s="105" t="b">
        <v>0</v>
      </c>
      <c r="C189" s="107"/>
      <c r="D189" s="108"/>
      <c r="E189" s="108"/>
      <c r="F189" s="108"/>
      <c r="G189" s="113"/>
      <c r="H189" s="114"/>
    </row>
    <row r="190" ht="17.25" customHeight="1">
      <c r="A190" s="102"/>
      <c r="B190" s="105" t="b">
        <v>0</v>
      </c>
      <c r="C190" s="107"/>
      <c r="D190" s="108"/>
      <c r="E190" s="108"/>
      <c r="F190" s="108"/>
      <c r="G190" s="113"/>
      <c r="H190" s="114"/>
    </row>
    <row r="191" ht="17.25" customHeight="1">
      <c r="A191" s="102"/>
      <c r="B191" s="105" t="b">
        <v>0</v>
      </c>
      <c r="C191" s="107"/>
      <c r="D191" s="108"/>
      <c r="E191" s="108"/>
      <c r="F191" s="108"/>
      <c r="G191" s="113"/>
      <c r="H191" s="114"/>
    </row>
    <row r="192" ht="17.25" customHeight="1">
      <c r="A192" s="102"/>
      <c r="B192" s="105" t="b">
        <v>0</v>
      </c>
      <c r="C192" s="107"/>
      <c r="D192" s="108"/>
      <c r="E192" s="108"/>
      <c r="F192" s="108"/>
      <c r="G192" s="113"/>
      <c r="H192" s="114"/>
    </row>
    <row r="193" ht="17.25" customHeight="1">
      <c r="A193" s="102"/>
      <c r="B193" s="105" t="b">
        <v>0</v>
      </c>
      <c r="C193" s="107"/>
      <c r="D193" s="108"/>
      <c r="E193" s="108"/>
      <c r="F193" s="108"/>
      <c r="G193" s="113"/>
      <c r="H193" s="114"/>
    </row>
    <row r="194" ht="17.25" customHeight="1">
      <c r="A194" s="102"/>
      <c r="B194" s="105" t="b">
        <v>0</v>
      </c>
      <c r="C194" s="107"/>
      <c r="D194" s="108"/>
      <c r="E194" s="108"/>
      <c r="F194" s="108"/>
      <c r="G194" s="113"/>
      <c r="H194" s="114"/>
    </row>
    <row r="195" ht="17.25" customHeight="1">
      <c r="A195" s="102"/>
      <c r="B195" s="105" t="b">
        <v>0</v>
      </c>
      <c r="C195" s="107"/>
      <c r="D195" s="108"/>
      <c r="E195" s="108"/>
      <c r="F195" s="108"/>
      <c r="G195" s="113"/>
      <c r="H195" s="114"/>
    </row>
    <row r="196" ht="17.25" customHeight="1">
      <c r="A196" s="102"/>
      <c r="B196" s="105" t="b">
        <v>0</v>
      </c>
      <c r="C196" s="107"/>
      <c r="D196" s="108"/>
      <c r="E196" s="108"/>
      <c r="F196" s="108"/>
      <c r="G196" s="113"/>
      <c r="H196" s="114"/>
    </row>
    <row r="197" ht="17.25" customHeight="1">
      <c r="A197" s="102"/>
      <c r="B197" s="105" t="b">
        <v>0</v>
      </c>
      <c r="C197" s="107"/>
      <c r="D197" s="108"/>
      <c r="E197" s="108"/>
      <c r="F197" s="108"/>
      <c r="G197" s="113"/>
      <c r="H197" s="114"/>
    </row>
    <row r="198" ht="17.25" customHeight="1">
      <c r="A198" s="102"/>
      <c r="B198" s="105" t="b">
        <v>0</v>
      </c>
      <c r="C198" s="107"/>
      <c r="D198" s="108"/>
      <c r="E198" s="108"/>
      <c r="F198" s="108"/>
      <c r="G198" s="113"/>
      <c r="H198" s="114"/>
    </row>
    <row r="199" ht="17.25" customHeight="1">
      <c r="A199" s="102"/>
      <c r="B199" s="105" t="b">
        <v>0</v>
      </c>
      <c r="C199" s="107"/>
      <c r="D199" s="108"/>
      <c r="E199" s="108"/>
      <c r="F199" s="108"/>
      <c r="G199" s="113"/>
      <c r="H199" s="114"/>
    </row>
    <row r="200" ht="17.25" customHeight="1">
      <c r="A200" s="102"/>
      <c r="B200" s="105" t="b">
        <v>0</v>
      </c>
      <c r="C200" s="107"/>
      <c r="D200" s="108"/>
      <c r="E200" s="108"/>
      <c r="F200" s="108"/>
      <c r="G200" s="113"/>
      <c r="H200" s="114"/>
    </row>
    <row r="201" ht="17.25" customHeight="1">
      <c r="A201" s="102"/>
      <c r="B201" s="105" t="b">
        <v>0</v>
      </c>
      <c r="C201" s="107"/>
      <c r="D201" s="108"/>
      <c r="E201" s="108"/>
      <c r="F201" s="108"/>
      <c r="G201" s="113"/>
      <c r="H201" s="114"/>
    </row>
    <row r="202" ht="17.25" customHeight="1">
      <c r="A202" s="102"/>
      <c r="B202" s="105" t="b">
        <v>0</v>
      </c>
      <c r="C202" s="107"/>
      <c r="D202" s="108"/>
      <c r="E202" s="108"/>
      <c r="F202" s="108"/>
      <c r="G202" s="113"/>
      <c r="H202" s="114"/>
    </row>
    <row r="203" ht="17.25" customHeight="1">
      <c r="A203" s="102"/>
      <c r="B203" s="105" t="b">
        <v>0</v>
      </c>
      <c r="C203" s="107"/>
      <c r="D203" s="108"/>
      <c r="E203" s="108"/>
      <c r="F203" s="108"/>
      <c r="G203" s="113"/>
      <c r="H203" s="114"/>
    </row>
    <row r="204" ht="17.25" customHeight="1">
      <c r="A204" s="102"/>
      <c r="B204" s="105" t="b">
        <v>0</v>
      </c>
      <c r="C204" s="107"/>
      <c r="D204" s="108"/>
      <c r="E204" s="108"/>
      <c r="F204" s="108"/>
      <c r="G204" s="113"/>
      <c r="H204" s="114"/>
    </row>
    <row r="205" ht="17.25" customHeight="1">
      <c r="A205" s="102"/>
      <c r="B205" s="105" t="b">
        <v>0</v>
      </c>
      <c r="C205" s="107"/>
      <c r="D205" s="108"/>
      <c r="E205" s="108"/>
      <c r="F205" s="108"/>
      <c r="G205" s="113"/>
      <c r="H205" s="114"/>
    </row>
    <row r="206" ht="17.25" customHeight="1">
      <c r="A206" s="102"/>
      <c r="B206" s="105" t="b">
        <v>0</v>
      </c>
      <c r="C206" s="107"/>
      <c r="D206" s="108"/>
      <c r="E206" s="108"/>
      <c r="F206" s="108"/>
      <c r="G206" s="113"/>
      <c r="H206" s="114"/>
    </row>
    <row r="207" ht="17.25" customHeight="1">
      <c r="A207" s="102"/>
      <c r="B207" s="105" t="b">
        <v>0</v>
      </c>
      <c r="C207" s="107"/>
      <c r="D207" s="108"/>
      <c r="E207" s="108"/>
      <c r="F207" s="108"/>
      <c r="G207" s="113"/>
      <c r="H207" s="114"/>
    </row>
    <row r="208" ht="17.25" customHeight="1">
      <c r="A208" s="102"/>
      <c r="B208" s="105" t="b">
        <v>0</v>
      </c>
      <c r="C208" s="107"/>
      <c r="D208" s="108"/>
      <c r="E208" s="108"/>
      <c r="F208" s="108"/>
      <c r="G208" s="113"/>
      <c r="H208" s="114"/>
    </row>
    <row r="209" ht="17.25" customHeight="1">
      <c r="A209" s="102"/>
      <c r="B209" s="105" t="b">
        <v>0</v>
      </c>
      <c r="C209" s="107"/>
      <c r="D209" s="108"/>
      <c r="E209" s="108"/>
      <c r="F209" s="108"/>
      <c r="G209" s="113"/>
      <c r="H209" s="114"/>
    </row>
    <row r="210" ht="17.25" customHeight="1">
      <c r="A210" s="102"/>
      <c r="B210" s="105" t="b">
        <v>0</v>
      </c>
      <c r="C210" s="107"/>
      <c r="D210" s="108"/>
      <c r="E210" s="108"/>
      <c r="F210" s="108"/>
      <c r="G210" s="113"/>
      <c r="H210" s="114"/>
    </row>
    <row r="211" ht="17.25" customHeight="1">
      <c r="A211" s="102"/>
      <c r="B211" s="105" t="b">
        <v>0</v>
      </c>
      <c r="C211" s="107"/>
      <c r="D211" s="108"/>
      <c r="E211" s="108"/>
      <c r="F211" s="108"/>
      <c r="G211" s="113"/>
      <c r="H211" s="114"/>
    </row>
    <row r="212" ht="17.25" customHeight="1">
      <c r="A212" s="102"/>
      <c r="B212" s="105" t="b">
        <v>0</v>
      </c>
      <c r="C212" s="107"/>
      <c r="D212" s="108"/>
      <c r="E212" s="108"/>
      <c r="F212" s="108"/>
      <c r="G212" s="113"/>
      <c r="H212" s="114"/>
    </row>
    <row r="213" ht="17.25" customHeight="1">
      <c r="A213" s="102"/>
      <c r="B213" s="105" t="b">
        <v>0</v>
      </c>
      <c r="C213" s="107"/>
      <c r="D213" s="108"/>
      <c r="E213" s="108"/>
      <c r="F213" s="108"/>
      <c r="G213" s="113"/>
      <c r="H213" s="114"/>
    </row>
    <row r="214" ht="17.25" customHeight="1">
      <c r="A214" s="102"/>
      <c r="B214" s="105" t="b">
        <v>0</v>
      </c>
      <c r="C214" s="107"/>
      <c r="D214" s="108"/>
      <c r="E214" s="108"/>
      <c r="F214" s="108"/>
      <c r="G214" s="113"/>
      <c r="H214" s="114"/>
    </row>
    <row r="215" ht="17.25" customHeight="1">
      <c r="A215" s="102"/>
      <c r="B215" s="105" t="b">
        <v>0</v>
      </c>
      <c r="C215" s="107"/>
      <c r="D215" s="108"/>
      <c r="E215" s="108"/>
      <c r="F215" s="108"/>
      <c r="G215" s="113"/>
      <c r="H215" s="114"/>
    </row>
    <row r="216" ht="17.25" customHeight="1">
      <c r="A216" s="102"/>
      <c r="B216" s="105" t="b">
        <v>0</v>
      </c>
      <c r="C216" s="107"/>
      <c r="D216" s="108"/>
      <c r="E216" s="108"/>
      <c r="F216" s="108"/>
      <c r="G216" s="113"/>
      <c r="H216" s="114"/>
    </row>
    <row r="217" ht="17.25" customHeight="1">
      <c r="A217" s="102"/>
      <c r="B217" s="105" t="b">
        <v>0</v>
      </c>
      <c r="C217" s="107"/>
      <c r="D217" s="108"/>
      <c r="E217" s="108"/>
      <c r="F217" s="108"/>
      <c r="G217" s="113"/>
      <c r="H217" s="114"/>
    </row>
    <row r="218" ht="17.25" customHeight="1">
      <c r="A218" s="102"/>
      <c r="B218" s="105" t="b">
        <v>0</v>
      </c>
      <c r="C218" s="107"/>
      <c r="D218" s="108"/>
      <c r="E218" s="108"/>
      <c r="F218" s="108"/>
      <c r="G218" s="113"/>
      <c r="H218" s="114"/>
    </row>
    <row r="219" ht="17.25" customHeight="1">
      <c r="A219" s="102"/>
      <c r="B219" s="105" t="b">
        <v>0</v>
      </c>
      <c r="C219" s="107"/>
      <c r="D219" s="108"/>
      <c r="E219" s="108"/>
      <c r="F219" s="108"/>
      <c r="G219" s="113"/>
      <c r="H219" s="114"/>
    </row>
    <row r="220" ht="17.25" customHeight="1">
      <c r="A220" s="102"/>
      <c r="B220" s="105" t="b">
        <v>0</v>
      </c>
      <c r="C220" s="107"/>
      <c r="D220" s="108"/>
      <c r="E220" s="108"/>
      <c r="F220" s="108"/>
      <c r="G220" s="113"/>
      <c r="H220" s="114"/>
    </row>
    <row r="221" ht="17.25" customHeight="1">
      <c r="A221" s="102"/>
      <c r="B221" s="105" t="b">
        <v>0</v>
      </c>
      <c r="C221" s="107"/>
      <c r="D221" s="108"/>
      <c r="E221" s="108"/>
      <c r="F221" s="108"/>
      <c r="G221" s="113"/>
      <c r="H221" s="114"/>
    </row>
    <row r="222" ht="17.25" customHeight="1">
      <c r="A222" s="102"/>
      <c r="B222" s="105" t="b">
        <v>0</v>
      </c>
      <c r="C222" s="107"/>
      <c r="D222" s="108"/>
      <c r="E222" s="108"/>
      <c r="F222" s="108"/>
      <c r="G222" s="113"/>
      <c r="H222" s="114"/>
    </row>
    <row r="223" ht="17.25" customHeight="1">
      <c r="A223" s="102"/>
      <c r="B223" s="105" t="b">
        <v>0</v>
      </c>
      <c r="C223" s="107"/>
      <c r="D223" s="108"/>
      <c r="E223" s="108"/>
      <c r="F223" s="108"/>
      <c r="G223" s="113"/>
      <c r="H223" s="114"/>
    </row>
    <row r="224" ht="17.25" customHeight="1">
      <c r="A224" s="102"/>
      <c r="B224" s="105" t="b">
        <v>0</v>
      </c>
      <c r="C224" s="107"/>
      <c r="D224" s="108"/>
      <c r="E224" s="108"/>
      <c r="F224" s="108"/>
      <c r="G224" s="113"/>
      <c r="H224" s="114"/>
    </row>
    <row r="225" ht="17.25" customHeight="1">
      <c r="A225" s="102"/>
      <c r="B225" s="105" t="b">
        <v>0</v>
      </c>
      <c r="C225" s="107"/>
      <c r="D225" s="108"/>
      <c r="E225" s="108"/>
      <c r="F225" s="108"/>
      <c r="G225" s="113"/>
      <c r="H225" s="114"/>
    </row>
    <row r="226" ht="17.25" customHeight="1">
      <c r="A226" s="102"/>
      <c r="B226" s="105" t="b">
        <v>0</v>
      </c>
      <c r="C226" s="107"/>
      <c r="D226" s="108"/>
      <c r="E226" s="108"/>
      <c r="F226" s="108"/>
      <c r="G226" s="113"/>
      <c r="H226" s="114"/>
    </row>
    <row r="227" ht="17.25" customHeight="1">
      <c r="A227" s="102"/>
      <c r="B227" s="105" t="b">
        <v>0</v>
      </c>
      <c r="C227" s="107"/>
      <c r="D227" s="108"/>
      <c r="E227" s="108"/>
      <c r="F227" s="108"/>
      <c r="G227" s="113"/>
      <c r="H227" s="114"/>
    </row>
    <row r="228" ht="17.25" customHeight="1">
      <c r="A228" s="102"/>
      <c r="B228" s="105" t="b">
        <v>0</v>
      </c>
      <c r="C228" s="107"/>
      <c r="D228" s="108"/>
      <c r="E228" s="108"/>
      <c r="F228" s="108"/>
      <c r="G228" s="113"/>
      <c r="H228" s="114"/>
    </row>
    <row r="229" ht="17.25" customHeight="1">
      <c r="A229" s="102"/>
      <c r="B229" s="105" t="b">
        <v>0</v>
      </c>
      <c r="C229" s="107"/>
      <c r="D229" s="108"/>
      <c r="E229" s="108"/>
      <c r="F229" s="108"/>
      <c r="G229" s="113"/>
      <c r="H229" s="114"/>
    </row>
    <row r="230" ht="17.25" customHeight="1">
      <c r="A230" s="102"/>
      <c r="B230" s="105" t="b">
        <v>0</v>
      </c>
      <c r="C230" s="107"/>
      <c r="D230" s="108"/>
      <c r="E230" s="108"/>
      <c r="F230" s="108"/>
      <c r="G230" s="113"/>
      <c r="H230" s="114"/>
    </row>
    <row r="231" ht="17.25" customHeight="1">
      <c r="A231" s="102"/>
      <c r="B231" s="105" t="b">
        <v>0</v>
      </c>
      <c r="C231" s="107"/>
      <c r="D231" s="108"/>
      <c r="E231" s="108"/>
      <c r="F231" s="108"/>
      <c r="G231" s="113"/>
      <c r="H231" s="114"/>
    </row>
    <row r="232" ht="17.25" customHeight="1">
      <c r="A232" s="102"/>
      <c r="B232" s="105" t="b">
        <v>0</v>
      </c>
      <c r="C232" s="107"/>
      <c r="D232" s="108"/>
      <c r="E232" s="108"/>
      <c r="F232" s="108"/>
      <c r="G232" s="113"/>
      <c r="H232" s="114"/>
    </row>
    <row r="233" ht="17.25" customHeight="1">
      <c r="A233" s="102"/>
      <c r="B233" s="105" t="b">
        <v>0</v>
      </c>
      <c r="C233" s="107"/>
      <c r="D233" s="108"/>
      <c r="E233" s="108"/>
      <c r="F233" s="108"/>
      <c r="G233" s="113"/>
      <c r="H233" s="114"/>
    </row>
    <row r="234" ht="17.25" customHeight="1">
      <c r="A234" s="102"/>
      <c r="B234" s="105" t="b">
        <v>0</v>
      </c>
      <c r="C234" s="107"/>
      <c r="D234" s="108"/>
      <c r="E234" s="108"/>
      <c r="F234" s="108"/>
      <c r="G234" s="113"/>
      <c r="H234" s="114"/>
    </row>
    <row r="235" ht="17.25" customHeight="1">
      <c r="A235" s="102"/>
      <c r="B235" s="105" t="b">
        <v>0</v>
      </c>
      <c r="C235" s="107"/>
      <c r="D235" s="108"/>
      <c r="E235" s="108"/>
      <c r="F235" s="108"/>
      <c r="G235" s="113"/>
      <c r="H235" s="114"/>
    </row>
    <row r="236" ht="17.25" customHeight="1">
      <c r="A236" s="102"/>
      <c r="B236" s="105" t="b">
        <v>0</v>
      </c>
      <c r="C236" s="107"/>
      <c r="D236" s="108"/>
      <c r="E236" s="108"/>
      <c r="F236" s="108"/>
      <c r="G236" s="113"/>
      <c r="H236" s="114"/>
    </row>
    <row r="237" ht="17.25" customHeight="1">
      <c r="A237" s="102"/>
      <c r="B237" s="105" t="b">
        <v>0</v>
      </c>
      <c r="C237" s="107"/>
      <c r="D237" s="108"/>
      <c r="E237" s="108"/>
      <c r="F237" s="108"/>
      <c r="G237" s="113"/>
      <c r="H237" s="114"/>
    </row>
    <row r="238" ht="17.25" customHeight="1">
      <c r="A238" s="102"/>
      <c r="B238" s="105" t="b">
        <v>0</v>
      </c>
      <c r="C238" s="107"/>
      <c r="D238" s="108"/>
      <c r="E238" s="108"/>
      <c r="F238" s="108"/>
      <c r="G238" s="113"/>
      <c r="H238" s="114"/>
    </row>
    <row r="239" ht="17.25" customHeight="1">
      <c r="A239" s="102"/>
      <c r="B239" s="105" t="b">
        <v>0</v>
      </c>
      <c r="C239" s="107"/>
      <c r="D239" s="108"/>
      <c r="E239" s="108"/>
      <c r="F239" s="108"/>
      <c r="G239" s="113"/>
      <c r="H239" s="114"/>
    </row>
    <row r="240" ht="17.25" customHeight="1">
      <c r="A240" s="102"/>
      <c r="B240" s="105" t="b">
        <v>0</v>
      </c>
      <c r="C240" s="107"/>
      <c r="D240" s="108"/>
      <c r="E240" s="108"/>
      <c r="F240" s="108"/>
      <c r="G240" s="113"/>
      <c r="H240" s="114"/>
    </row>
    <row r="241" ht="17.25" customHeight="1">
      <c r="A241" s="102"/>
      <c r="B241" s="105" t="b">
        <v>0</v>
      </c>
      <c r="C241" s="107"/>
      <c r="D241" s="108"/>
      <c r="E241" s="108"/>
      <c r="F241" s="108"/>
      <c r="G241" s="113"/>
      <c r="H241" s="114"/>
    </row>
    <row r="242" ht="17.25" customHeight="1">
      <c r="A242" s="102"/>
      <c r="B242" s="105" t="b">
        <v>0</v>
      </c>
      <c r="C242" s="107"/>
      <c r="D242" s="108"/>
      <c r="E242" s="108"/>
      <c r="F242" s="108"/>
      <c r="G242" s="113"/>
      <c r="H242" s="114"/>
    </row>
    <row r="243" ht="17.25" customHeight="1">
      <c r="A243" s="102"/>
      <c r="B243" s="105" t="b">
        <v>0</v>
      </c>
      <c r="C243" s="107"/>
      <c r="D243" s="108"/>
      <c r="E243" s="108"/>
      <c r="F243" s="108"/>
      <c r="G243" s="113"/>
      <c r="H243" s="114"/>
    </row>
    <row r="244" ht="17.25" customHeight="1">
      <c r="A244" s="102"/>
      <c r="B244" s="105" t="b">
        <v>0</v>
      </c>
      <c r="C244" s="107"/>
      <c r="D244" s="108"/>
      <c r="E244" s="108"/>
      <c r="F244" s="108"/>
      <c r="G244" s="113"/>
      <c r="H244" s="114"/>
    </row>
    <row r="245" ht="17.25" customHeight="1">
      <c r="A245" s="102"/>
      <c r="B245" s="105" t="b">
        <v>0</v>
      </c>
      <c r="C245" s="107"/>
      <c r="D245" s="108"/>
      <c r="E245" s="108"/>
      <c r="F245" s="108"/>
      <c r="G245" s="113"/>
      <c r="H245" s="114"/>
    </row>
    <row r="246" ht="17.25" customHeight="1">
      <c r="A246" s="102"/>
      <c r="B246" s="105" t="b">
        <v>0</v>
      </c>
      <c r="C246" s="107"/>
      <c r="D246" s="108"/>
      <c r="E246" s="108"/>
      <c r="F246" s="108"/>
      <c r="G246" s="113"/>
      <c r="H246" s="114"/>
    </row>
    <row r="247" ht="17.25" customHeight="1">
      <c r="A247" s="102"/>
      <c r="B247" s="105" t="b">
        <v>0</v>
      </c>
      <c r="C247" s="107"/>
      <c r="D247" s="108"/>
      <c r="E247" s="108"/>
      <c r="F247" s="108"/>
      <c r="G247" s="113"/>
      <c r="H247" s="114"/>
    </row>
    <row r="248" ht="17.25" customHeight="1">
      <c r="A248" s="102"/>
      <c r="B248" s="105" t="b">
        <v>0</v>
      </c>
      <c r="C248" s="107"/>
      <c r="D248" s="108"/>
      <c r="E248" s="108"/>
      <c r="F248" s="108"/>
      <c r="G248" s="113"/>
      <c r="H248" s="114"/>
    </row>
    <row r="249" ht="17.25" customHeight="1">
      <c r="A249" s="102"/>
      <c r="B249" s="105" t="b">
        <v>0</v>
      </c>
      <c r="C249" s="107"/>
      <c r="D249" s="108"/>
      <c r="E249" s="108"/>
      <c r="F249" s="108"/>
      <c r="G249" s="113"/>
      <c r="H249" s="114"/>
    </row>
    <row r="250" ht="17.25" customHeight="1">
      <c r="A250" s="102"/>
      <c r="B250" s="105" t="b">
        <v>0</v>
      </c>
      <c r="C250" s="107"/>
      <c r="D250" s="108"/>
      <c r="E250" s="108"/>
      <c r="F250" s="108"/>
      <c r="G250" s="113"/>
      <c r="H250" s="114"/>
    </row>
    <row r="251" ht="17.25" customHeight="1">
      <c r="A251" s="102"/>
      <c r="B251" s="105" t="b">
        <v>0</v>
      </c>
      <c r="C251" s="107"/>
      <c r="D251" s="108"/>
      <c r="E251" s="108"/>
      <c r="F251" s="108"/>
      <c r="G251" s="113"/>
      <c r="H251" s="114"/>
    </row>
    <row r="252" ht="17.25" customHeight="1">
      <c r="A252" s="102"/>
      <c r="B252" s="105" t="b">
        <v>0</v>
      </c>
      <c r="C252" s="107"/>
      <c r="D252" s="108"/>
      <c r="E252" s="108"/>
      <c r="F252" s="108"/>
      <c r="G252" s="113"/>
      <c r="H252" s="114"/>
    </row>
    <row r="253" ht="17.25" customHeight="1">
      <c r="A253" s="102"/>
      <c r="B253" s="105" t="b">
        <v>0</v>
      </c>
      <c r="C253" s="107"/>
      <c r="D253" s="108"/>
      <c r="E253" s="108"/>
      <c r="F253" s="108"/>
      <c r="G253" s="113"/>
      <c r="H253" s="114"/>
    </row>
    <row r="254" ht="17.25" customHeight="1">
      <c r="A254" s="102"/>
      <c r="B254" s="105" t="b">
        <v>0</v>
      </c>
      <c r="C254" s="107"/>
      <c r="D254" s="108"/>
      <c r="E254" s="108"/>
      <c r="F254" s="108"/>
      <c r="G254" s="113"/>
      <c r="H254" s="114"/>
    </row>
    <row r="255" ht="17.25" customHeight="1">
      <c r="A255" s="102"/>
      <c r="B255" s="105" t="b">
        <v>0</v>
      </c>
      <c r="C255" s="107"/>
      <c r="D255" s="108"/>
      <c r="E255" s="108"/>
      <c r="F255" s="108"/>
      <c r="G255" s="113"/>
      <c r="H255" s="114"/>
    </row>
    <row r="256" ht="17.25" customHeight="1">
      <c r="A256" s="102"/>
      <c r="B256" s="105" t="b">
        <v>0</v>
      </c>
      <c r="C256" s="107"/>
      <c r="D256" s="108"/>
      <c r="E256" s="108"/>
      <c r="F256" s="108"/>
      <c r="G256" s="113"/>
      <c r="H256" s="114"/>
    </row>
    <row r="257" ht="17.25" customHeight="1">
      <c r="A257" s="102"/>
      <c r="B257" s="105" t="b">
        <v>0</v>
      </c>
      <c r="C257" s="107"/>
      <c r="D257" s="108"/>
      <c r="E257" s="108"/>
      <c r="F257" s="108"/>
      <c r="G257" s="113"/>
      <c r="H257" s="114"/>
    </row>
    <row r="258" ht="17.25" customHeight="1">
      <c r="A258" s="102"/>
      <c r="B258" s="105" t="b">
        <v>0</v>
      </c>
      <c r="C258" s="107"/>
      <c r="D258" s="108"/>
      <c r="E258" s="108"/>
      <c r="F258" s="108"/>
      <c r="G258" s="113"/>
      <c r="H258" s="114"/>
    </row>
    <row r="259" ht="17.25" customHeight="1">
      <c r="A259" s="102"/>
      <c r="B259" s="105" t="b">
        <v>0</v>
      </c>
      <c r="C259" s="107"/>
      <c r="D259" s="108"/>
      <c r="E259" s="108"/>
      <c r="F259" s="108"/>
      <c r="G259" s="113"/>
      <c r="H259" s="114"/>
    </row>
    <row r="260" ht="17.25" customHeight="1">
      <c r="A260" s="102"/>
      <c r="B260" s="105" t="b">
        <v>0</v>
      </c>
      <c r="C260" s="107"/>
      <c r="D260" s="108"/>
      <c r="E260" s="108"/>
      <c r="F260" s="108"/>
      <c r="G260" s="113"/>
      <c r="H260" s="114"/>
    </row>
    <row r="261" ht="17.25" customHeight="1">
      <c r="A261" s="102"/>
      <c r="B261" s="105" t="b">
        <v>0</v>
      </c>
      <c r="C261" s="107"/>
      <c r="D261" s="108"/>
      <c r="E261" s="108"/>
      <c r="F261" s="108"/>
      <c r="G261" s="113"/>
      <c r="H261" s="114"/>
    </row>
    <row r="262" ht="17.25" customHeight="1">
      <c r="A262" s="102"/>
      <c r="B262" s="105" t="b">
        <v>0</v>
      </c>
      <c r="C262" s="107"/>
      <c r="D262" s="108"/>
      <c r="E262" s="108"/>
      <c r="F262" s="108"/>
      <c r="G262" s="113"/>
      <c r="H262" s="114"/>
    </row>
    <row r="263" ht="17.25" customHeight="1">
      <c r="A263" s="102"/>
      <c r="B263" s="105" t="b">
        <v>0</v>
      </c>
      <c r="C263" s="107"/>
      <c r="D263" s="108"/>
      <c r="E263" s="108"/>
      <c r="F263" s="108"/>
      <c r="G263" s="113"/>
      <c r="H263" s="114"/>
    </row>
    <row r="264" ht="17.25" customHeight="1">
      <c r="A264" s="102"/>
      <c r="B264" s="105" t="b">
        <v>0</v>
      </c>
      <c r="C264" s="107"/>
      <c r="D264" s="108"/>
      <c r="E264" s="108"/>
      <c r="F264" s="108"/>
      <c r="G264" s="113"/>
      <c r="H264" s="114"/>
    </row>
    <row r="265" ht="17.25" customHeight="1">
      <c r="A265" s="102"/>
      <c r="B265" s="105" t="b">
        <v>0</v>
      </c>
      <c r="C265" s="107"/>
      <c r="D265" s="108"/>
      <c r="E265" s="108"/>
      <c r="F265" s="108"/>
      <c r="G265" s="113"/>
      <c r="H265" s="114"/>
    </row>
    <row r="266" ht="17.25" customHeight="1">
      <c r="A266" s="102"/>
      <c r="B266" s="105" t="b">
        <v>0</v>
      </c>
      <c r="C266" s="107"/>
      <c r="D266" s="108"/>
      <c r="E266" s="108"/>
      <c r="F266" s="108"/>
      <c r="G266" s="113"/>
      <c r="H266" s="114"/>
    </row>
    <row r="267" ht="17.25" customHeight="1">
      <c r="A267" s="102"/>
      <c r="B267" s="105" t="b">
        <v>0</v>
      </c>
      <c r="C267" s="107"/>
      <c r="D267" s="108"/>
      <c r="E267" s="108"/>
      <c r="F267" s="108"/>
      <c r="G267" s="113"/>
      <c r="H267" s="114"/>
    </row>
    <row r="268" ht="17.25" customHeight="1">
      <c r="A268" s="102"/>
      <c r="B268" s="105" t="b">
        <v>0</v>
      </c>
      <c r="C268" s="107"/>
      <c r="D268" s="108"/>
      <c r="E268" s="108"/>
      <c r="F268" s="108"/>
      <c r="G268" s="113"/>
      <c r="H268" s="114"/>
    </row>
    <row r="269" ht="17.25" customHeight="1">
      <c r="A269" s="102"/>
      <c r="B269" s="105" t="b">
        <v>0</v>
      </c>
      <c r="C269" s="107"/>
      <c r="D269" s="108"/>
      <c r="E269" s="108"/>
      <c r="F269" s="108"/>
      <c r="G269" s="113"/>
      <c r="H269" s="114"/>
    </row>
    <row r="270" ht="17.25" customHeight="1">
      <c r="A270" s="102"/>
      <c r="B270" s="105" t="b">
        <v>0</v>
      </c>
      <c r="C270" s="107"/>
      <c r="D270" s="108"/>
      <c r="E270" s="108"/>
      <c r="F270" s="108"/>
      <c r="G270" s="113"/>
      <c r="H270" s="114"/>
    </row>
    <row r="271" ht="17.25" customHeight="1">
      <c r="A271" s="102"/>
      <c r="B271" s="105" t="b">
        <v>0</v>
      </c>
      <c r="C271" s="107"/>
      <c r="D271" s="108"/>
      <c r="E271" s="108"/>
      <c r="F271" s="108"/>
      <c r="G271" s="113"/>
      <c r="H271" s="114"/>
    </row>
    <row r="272" ht="17.25" customHeight="1">
      <c r="A272" s="102"/>
      <c r="B272" s="105" t="b">
        <v>0</v>
      </c>
      <c r="C272" s="107"/>
      <c r="D272" s="108"/>
      <c r="E272" s="108"/>
      <c r="F272" s="108"/>
      <c r="G272" s="113"/>
      <c r="H272" s="114"/>
    </row>
    <row r="273" ht="17.25" customHeight="1">
      <c r="A273" s="102"/>
      <c r="B273" s="105" t="b">
        <v>0</v>
      </c>
      <c r="C273" s="107"/>
      <c r="D273" s="108"/>
      <c r="E273" s="108"/>
      <c r="F273" s="108"/>
      <c r="G273" s="113"/>
      <c r="H273" s="114"/>
    </row>
    <row r="274" ht="17.25" customHeight="1">
      <c r="A274" s="102"/>
      <c r="B274" s="105" t="b">
        <v>0</v>
      </c>
      <c r="C274" s="107"/>
      <c r="D274" s="108"/>
      <c r="E274" s="108"/>
      <c r="F274" s="108"/>
      <c r="G274" s="113"/>
      <c r="H274" s="114"/>
    </row>
    <row r="275" ht="17.25" customHeight="1">
      <c r="A275" s="102"/>
      <c r="B275" s="105" t="b">
        <v>0</v>
      </c>
      <c r="C275" s="107"/>
      <c r="D275" s="108"/>
      <c r="E275" s="108"/>
      <c r="F275" s="108"/>
      <c r="G275" s="113"/>
      <c r="H275" s="114"/>
    </row>
    <row r="276" ht="17.25" customHeight="1">
      <c r="A276" s="102"/>
      <c r="B276" s="105" t="b">
        <v>0</v>
      </c>
      <c r="C276" s="107"/>
      <c r="D276" s="108"/>
      <c r="E276" s="108"/>
      <c r="F276" s="108"/>
      <c r="G276" s="113"/>
      <c r="H276" s="114"/>
    </row>
    <row r="277" ht="17.25" customHeight="1">
      <c r="A277" s="102"/>
      <c r="B277" s="105" t="b">
        <v>0</v>
      </c>
      <c r="C277" s="107"/>
      <c r="D277" s="108"/>
      <c r="E277" s="108"/>
      <c r="F277" s="108"/>
      <c r="G277" s="113"/>
      <c r="H277" s="114"/>
    </row>
    <row r="278" ht="17.25" customHeight="1">
      <c r="A278" s="102"/>
      <c r="B278" s="105" t="b">
        <v>0</v>
      </c>
      <c r="C278" s="107"/>
      <c r="D278" s="108"/>
      <c r="E278" s="108"/>
      <c r="F278" s="108"/>
      <c r="G278" s="113"/>
      <c r="H278" s="114"/>
    </row>
    <row r="279" ht="17.25" customHeight="1">
      <c r="A279" s="102"/>
      <c r="B279" s="105" t="b">
        <v>0</v>
      </c>
      <c r="C279" s="107"/>
      <c r="D279" s="108"/>
      <c r="E279" s="108"/>
      <c r="F279" s="108"/>
      <c r="G279" s="113"/>
      <c r="H279" s="114"/>
    </row>
    <row r="280" ht="17.25" customHeight="1">
      <c r="A280" s="102"/>
      <c r="B280" s="105" t="b">
        <v>0</v>
      </c>
      <c r="C280" s="107"/>
      <c r="D280" s="108"/>
      <c r="E280" s="108"/>
      <c r="F280" s="108"/>
      <c r="G280" s="113"/>
      <c r="H280" s="114"/>
    </row>
    <row r="281" ht="17.25" customHeight="1">
      <c r="A281" s="102"/>
      <c r="B281" s="105" t="b">
        <v>0</v>
      </c>
      <c r="C281" s="107"/>
      <c r="D281" s="108"/>
      <c r="E281" s="108"/>
      <c r="F281" s="108"/>
      <c r="G281" s="113"/>
      <c r="H281" s="114"/>
    </row>
    <row r="282" ht="17.25" customHeight="1">
      <c r="A282" s="102"/>
      <c r="B282" s="105" t="b">
        <v>0</v>
      </c>
      <c r="C282" s="107"/>
      <c r="D282" s="108"/>
      <c r="E282" s="108"/>
      <c r="F282" s="108"/>
      <c r="G282" s="113"/>
      <c r="H282" s="114"/>
    </row>
    <row r="283" ht="17.25" customHeight="1">
      <c r="A283" s="102"/>
      <c r="B283" s="105" t="b">
        <v>0</v>
      </c>
      <c r="C283" s="107"/>
      <c r="D283" s="108"/>
      <c r="E283" s="108"/>
      <c r="F283" s="108"/>
      <c r="G283" s="113"/>
      <c r="H283" s="114"/>
    </row>
    <row r="284" ht="17.25" customHeight="1">
      <c r="A284" s="102"/>
      <c r="B284" s="105" t="b">
        <v>0</v>
      </c>
      <c r="C284" s="107"/>
      <c r="D284" s="108"/>
      <c r="E284" s="108"/>
      <c r="F284" s="108"/>
      <c r="G284" s="113"/>
      <c r="H284" s="114"/>
    </row>
    <row r="285" ht="17.25" customHeight="1">
      <c r="A285" s="102"/>
      <c r="B285" s="105" t="b">
        <v>0</v>
      </c>
      <c r="C285" s="107"/>
      <c r="D285" s="108"/>
      <c r="E285" s="108"/>
      <c r="F285" s="108"/>
      <c r="G285" s="113"/>
      <c r="H285" s="114"/>
    </row>
    <row r="286" ht="17.25" customHeight="1">
      <c r="A286" s="102"/>
      <c r="B286" s="105" t="b">
        <v>0</v>
      </c>
      <c r="C286" s="107"/>
      <c r="D286" s="108"/>
      <c r="E286" s="108"/>
      <c r="F286" s="108"/>
      <c r="G286" s="113"/>
      <c r="H286" s="114"/>
    </row>
    <row r="287" ht="17.25" customHeight="1">
      <c r="A287" s="102"/>
      <c r="B287" s="105" t="b">
        <v>0</v>
      </c>
      <c r="C287" s="107"/>
      <c r="D287" s="108"/>
      <c r="E287" s="108"/>
      <c r="F287" s="108"/>
      <c r="G287" s="113"/>
      <c r="H287" s="114"/>
    </row>
    <row r="288" ht="17.25" customHeight="1">
      <c r="A288" s="102"/>
      <c r="B288" s="105" t="b">
        <v>0</v>
      </c>
      <c r="C288" s="107"/>
      <c r="D288" s="108"/>
      <c r="E288" s="108"/>
      <c r="F288" s="108"/>
      <c r="G288" s="113"/>
      <c r="H288" s="114"/>
    </row>
    <row r="289" ht="17.25" customHeight="1">
      <c r="A289" s="102"/>
      <c r="B289" s="105" t="b">
        <v>0</v>
      </c>
      <c r="C289" s="107"/>
      <c r="D289" s="108"/>
      <c r="E289" s="108"/>
      <c r="F289" s="108"/>
      <c r="G289" s="113"/>
      <c r="H289" s="114"/>
    </row>
    <row r="290" ht="17.25" customHeight="1">
      <c r="A290" s="102"/>
      <c r="B290" s="105" t="b">
        <v>0</v>
      </c>
      <c r="C290" s="107"/>
      <c r="D290" s="108"/>
      <c r="E290" s="108"/>
      <c r="F290" s="108"/>
      <c r="G290" s="113"/>
      <c r="H290" s="114"/>
    </row>
    <row r="291" ht="17.25" customHeight="1">
      <c r="A291" s="102"/>
      <c r="B291" s="105" t="b">
        <v>0</v>
      </c>
      <c r="C291" s="107"/>
      <c r="D291" s="108"/>
      <c r="E291" s="108"/>
      <c r="F291" s="108"/>
      <c r="G291" s="113"/>
      <c r="H291" s="114"/>
    </row>
    <row r="292" ht="17.25" customHeight="1">
      <c r="A292" s="102"/>
      <c r="B292" s="105" t="b">
        <v>0</v>
      </c>
      <c r="C292" s="107"/>
      <c r="D292" s="108"/>
      <c r="E292" s="108"/>
      <c r="F292" s="108"/>
      <c r="G292" s="113"/>
      <c r="H292" s="114"/>
    </row>
    <row r="293" ht="17.25" customHeight="1">
      <c r="A293" s="102"/>
      <c r="B293" s="105" t="b">
        <v>0</v>
      </c>
      <c r="C293" s="107"/>
      <c r="D293" s="108"/>
      <c r="E293" s="108"/>
      <c r="F293" s="108"/>
      <c r="G293" s="113"/>
      <c r="H293" s="114"/>
    </row>
    <row r="294" ht="17.25" customHeight="1">
      <c r="A294" s="102"/>
      <c r="B294" s="105" t="b">
        <v>0</v>
      </c>
      <c r="C294" s="107"/>
      <c r="D294" s="108"/>
      <c r="E294" s="108"/>
      <c r="F294" s="108"/>
      <c r="G294" s="113"/>
      <c r="H294" s="114"/>
    </row>
    <row r="295" ht="17.25" customHeight="1">
      <c r="A295" s="102"/>
      <c r="B295" s="105" t="b">
        <v>0</v>
      </c>
      <c r="C295" s="107"/>
      <c r="D295" s="108"/>
      <c r="E295" s="108"/>
      <c r="F295" s="108"/>
      <c r="G295" s="113"/>
      <c r="H295" s="114"/>
    </row>
    <row r="296" ht="17.25" customHeight="1">
      <c r="A296" s="102"/>
      <c r="B296" s="105" t="b">
        <v>0</v>
      </c>
      <c r="C296" s="107"/>
      <c r="D296" s="108"/>
      <c r="E296" s="108"/>
      <c r="F296" s="108"/>
      <c r="G296" s="113"/>
      <c r="H296" s="114"/>
    </row>
    <row r="297" ht="17.25" customHeight="1">
      <c r="A297" s="102"/>
      <c r="B297" s="105" t="b">
        <v>0</v>
      </c>
      <c r="C297" s="107"/>
      <c r="D297" s="108"/>
      <c r="E297" s="108"/>
      <c r="F297" s="108"/>
      <c r="G297" s="113"/>
      <c r="H297" s="114"/>
    </row>
    <row r="298" ht="17.25" customHeight="1">
      <c r="A298" s="102"/>
      <c r="B298" s="105" t="b">
        <v>0</v>
      </c>
      <c r="C298" s="107"/>
      <c r="D298" s="108"/>
      <c r="E298" s="108"/>
      <c r="F298" s="108"/>
      <c r="G298" s="113"/>
      <c r="H298" s="114"/>
    </row>
    <row r="299" ht="17.25" customHeight="1">
      <c r="A299" s="102"/>
      <c r="B299" s="105" t="b">
        <v>0</v>
      </c>
      <c r="C299" s="107"/>
      <c r="D299" s="108"/>
      <c r="E299" s="108"/>
      <c r="F299" s="108"/>
      <c r="G299" s="113"/>
      <c r="H299" s="114"/>
    </row>
    <row r="300" ht="17.25" customHeight="1">
      <c r="A300" s="102"/>
      <c r="B300" s="105" t="b">
        <v>0</v>
      </c>
      <c r="C300" s="107"/>
      <c r="D300" s="108"/>
      <c r="E300" s="108"/>
      <c r="F300" s="108"/>
      <c r="G300" s="113"/>
      <c r="H300" s="114"/>
    </row>
    <row r="301" ht="17.25" customHeight="1">
      <c r="A301" s="102"/>
      <c r="B301" s="105" t="b">
        <v>0</v>
      </c>
      <c r="C301" s="107"/>
      <c r="D301" s="108"/>
      <c r="E301" s="108"/>
      <c r="F301" s="108"/>
      <c r="G301" s="113"/>
      <c r="H301" s="114"/>
    </row>
    <row r="302" ht="17.25" customHeight="1">
      <c r="A302" s="102"/>
      <c r="B302" s="105" t="b">
        <v>0</v>
      </c>
      <c r="C302" s="107"/>
      <c r="D302" s="108"/>
      <c r="E302" s="108"/>
      <c r="F302" s="108"/>
      <c r="G302" s="113"/>
      <c r="H302" s="114"/>
    </row>
    <row r="303" ht="17.25" customHeight="1">
      <c r="A303" s="102"/>
      <c r="B303" s="105" t="b">
        <v>0</v>
      </c>
      <c r="C303" s="107"/>
      <c r="D303" s="108"/>
      <c r="E303" s="108"/>
      <c r="F303" s="108"/>
      <c r="G303" s="113"/>
      <c r="H303" s="114"/>
    </row>
    <row r="304" ht="17.25" customHeight="1">
      <c r="A304" s="102"/>
      <c r="B304" s="105" t="b">
        <v>0</v>
      </c>
      <c r="C304" s="107"/>
      <c r="D304" s="108"/>
      <c r="E304" s="108"/>
      <c r="F304" s="108"/>
      <c r="G304" s="113"/>
      <c r="H304" s="114"/>
    </row>
    <row r="305" ht="17.25" customHeight="1">
      <c r="A305" s="102"/>
      <c r="B305" s="105" t="b">
        <v>0</v>
      </c>
      <c r="C305" s="107"/>
      <c r="D305" s="108"/>
      <c r="E305" s="108"/>
      <c r="F305" s="108"/>
      <c r="G305" s="113"/>
      <c r="H305" s="114"/>
    </row>
    <row r="306" ht="17.25" customHeight="1">
      <c r="A306" s="102"/>
      <c r="B306" s="105" t="b">
        <v>0</v>
      </c>
      <c r="C306" s="107"/>
      <c r="D306" s="108"/>
      <c r="E306" s="108"/>
      <c r="F306" s="108"/>
      <c r="G306" s="113"/>
      <c r="H306" s="114"/>
    </row>
    <row r="307" ht="17.25" customHeight="1">
      <c r="A307" s="102"/>
      <c r="B307" s="105" t="b">
        <v>0</v>
      </c>
      <c r="C307" s="107"/>
      <c r="D307" s="108"/>
      <c r="E307" s="108"/>
      <c r="F307" s="108"/>
      <c r="G307" s="113"/>
      <c r="H307" s="114"/>
    </row>
    <row r="308" ht="17.25" customHeight="1">
      <c r="A308" s="102"/>
      <c r="B308" s="105" t="b">
        <v>0</v>
      </c>
      <c r="C308" s="107"/>
      <c r="D308" s="108"/>
      <c r="E308" s="108"/>
      <c r="F308" s="108"/>
      <c r="G308" s="113"/>
      <c r="H308" s="114"/>
    </row>
    <row r="309" ht="17.25" customHeight="1">
      <c r="A309" s="102"/>
      <c r="B309" s="105" t="b">
        <v>0</v>
      </c>
      <c r="C309" s="107"/>
      <c r="D309" s="108"/>
      <c r="E309" s="108"/>
      <c r="F309" s="108"/>
      <c r="G309" s="113"/>
      <c r="H309" s="114"/>
    </row>
    <row r="310" ht="17.25" customHeight="1">
      <c r="A310" s="102"/>
      <c r="B310" s="105" t="b">
        <v>0</v>
      </c>
      <c r="C310" s="107"/>
      <c r="D310" s="108"/>
      <c r="E310" s="108"/>
      <c r="F310" s="108"/>
      <c r="G310" s="113"/>
      <c r="H310" s="114"/>
    </row>
    <row r="311" ht="17.25" customHeight="1">
      <c r="A311" s="102"/>
      <c r="B311" s="105" t="b">
        <v>0</v>
      </c>
      <c r="C311" s="107"/>
      <c r="D311" s="108"/>
      <c r="E311" s="108"/>
      <c r="F311" s="108"/>
      <c r="G311" s="113"/>
      <c r="H311" s="114"/>
    </row>
    <row r="312" ht="17.25" customHeight="1">
      <c r="A312" s="102"/>
      <c r="B312" s="105" t="b">
        <v>0</v>
      </c>
      <c r="C312" s="107"/>
      <c r="D312" s="108"/>
      <c r="E312" s="108"/>
      <c r="F312" s="108"/>
      <c r="G312" s="113"/>
      <c r="H312" s="114"/>
    </row>
    <row r="313" ht="17.25" customHeight="1">
      <c r="A313" s="102"/>
      <c r="B313" s="105" t="b">
        <v>0</v>
      </c>
      <c r="C313" s="107"/>
      <c r="D313" s="108"/>
      <c r="E313" s="108"/>
      <c r="F313" s="108"/>
      <c r="G313" s="113"/>
      <c r="H313" s="114"/>
    </row>
    <row r="314" ht="17.25" customHeight="1">
      <c r="A314" s="102"/>
      <c r="B314" s="105" t="b">
        <v>0</v>
      </c>
      <c r="C314" s="107"/>
      <c r="D314" s="108"/>
      <c r="E314" s="108"/>
      <c r="F314" s="108"/>
      <c r="G314" s="113"/>
      <c r="H314" s="114"/>
    </row>
    <row r="315" ht="17.25" customHeight="1">
      <c r="A315" s="102"/>
      <c r="B315" s="105" t="b">
        <v>0</v>
      </c>
      <c r="C315" s="107"/>
      <c r="D315" s="108"/>
      <c r="E315" s="108"/>
      <c r="F315" s="108"/>
      <c r="G315" s="113"/>
      <c r="H315" s="114"/>
    </row>
    <row r="316" ht="17.25" customHeight="1">
      <c r="A316" s="102"/>
      <c r="B316" s="105" t="b">
        <v>0</v>
      </c>
      <c r="C316" s="107"/>
      <c r="D316" s="108"/>
      <c r="E316" s="108"/>
      <c r="F316" s="108"/>
      <c r="G316" s="113"/>
      <c r="H316" s="114"/>
    </row>
    <row r="317" ht="17.25" customHeight="1">
      <c r="A317" s="102"/>
      <c r="B317" s="105" t="b">
        <v>0</v>
      </c>
      <c r="C317" s="107"/>
      <c r="D317" s="108"/>
      <c r="E317" s="108"/>
      <c r="F317" s="108"/>
      <c r="G317" s="113"/>
      <c r="H317" s="114"/>
    </row>
    <row r="318" ht="17.25" customHeight="1">
      <c r="A318" s="102"/>
      <c r="B318" s="105" t="b">
        <v>0</v>
      </c>
      <c r="C318" s="107"/>
      <c r="D318" s="108"/>
      <c r="E318" s="108"/>
      <c r="F318" s="108"/>
      <c r="G318" s="113"/>
      <c r="H318" s="114"/>
    </row>
    <row r="319" ht="17.25" customHeight="1">
      <c r="A319" s="102"/>
      <c r="B319" s="105" t="b">
        <v>0</v>
      </c>
      <c r="C319" s="107"/>
      <c r="D319" s="108"/>
      <c r="E319" s="108"/>
      <c r="F319" s="108"/>
      <c r="G319" s="113"/>
      <c r="H319" s="114"/>
    </row>
    <row r="320" ht="17.25" customHeight="1">
      <c r="A320" s="102"/>
      <c r="B320" s="105" t="b">
        <v>0</v>
      </c>
      <c r="C320" s="107"/>
      <c r="D320" s="108"/>
      <c r="E320" s="108"/>
      <c r="F320" s="108"/>
      <c r="G320" s="113"/>
      <c r="H320" s="114"/>
    </row>
    <row r="321" ht="17.25" customHeight="1">
      <c r="A321" s="102"/>
      <c r="B321" s="105" t="b">
        <v>0</v>
      </c>
      <c r="C321" s="107"/>
      <c r="D321" s="108"/>
      <c r="E321" s="108"/>
      <c r="F321" s="108"/>
      <c r="G321" s="113"/>
      <c r="H321" s="114"/>
    </row>
    <row r="322" ht="17.25" customHeight="1">
      <c r="A322" s="102"/>
      <c r="B322" s="105" t="b">
        <v>0</v>
      </c>
      <c r="C322" s="107"/>
      <c r="D322" s="108"/>
      <c r="E322" s="108"/>
      <c r="F322" s="108"/>
      <c r="G322" s="113"/>
      <c r="H322" s="114"/>
    </row>
    <row r="323" ht="17.25" customHeight="1">
      <c r="A323" s="102"/>
      <c r="B323" s="105" t="b">
        <v>0</v>
      </c>
      <c r="C323" s="107"/>
      <c r="D323" s="108"/>
      <c r="E323" s="108"/>
      <c r="F323" s="108"/>
      <c r="G323" s="113"/>
      <c r="H323" s="114"/>
    </row>
    <row r="324" ht="17.25" customHeight="1">
      <c r="A324" s="102"/>
      <c r="B324" s="105" t="b">
        <v>0</v>
      </c>
      <c r="C324" s="107"/>
      <c r="D324" s="108"/>
      <c r="E324" s="108"/>
      <c r="F324" s="108"/>
      <c r="G324" s="113"/>
      <c r="H324" s="114"/>
    </row>
    <row r="325" ht="17.25" customHeight="1">
      <c r="A325" s="102"/>
      <c r="B325" s="105" t="b">
        <v>0</v>
      </c>
      <c r="C325" s="107"/>
      <c r="D325" s="108"/>
      <c r="E325" s="108"/>
      <c r="F325" s="108"/>
      <c r="G325" s="113"/>
      <c r="H325" s="114"/>
    </row>
    <row r="326" ht="17.25" customHeight="1">
      <c r="A326" s="102"/>
      <c r="B326" s="105" t="b">
        <v>0</v>
      </c>
      <c r="C326" s="107"/>
      <c r="D326" s="108"/>
      <c r="E326" s="108"/>
      <c r="F326" s="108"/>
      <c r="G326" s="113"/>
      <c r="H326" s="114"/>
    </row>
    <row r="327" ht="17.25" customHeight="1">
      <c r="A327" s="102"/>
      <c r="B327" s="105" t="b">
        <v>0</v>
      </c>
      <c r="C327" s="107"/>
      <c r="D327" s="108"/>
      <c r="E327" s="108"/>
      <c r="F327" s="108"/>
      <c r="G327" s="113"/>
      <c r="H327" s="114"/>
    </row>
    <row r="328" ht="17.25" customHeight="1">
      <c r="A328" s="102"/>
      <c r="B328" s="105" t="b">
        <v>0</v>
      </c>
      <c r="C328" s="107"/>
      <c r="D328" s="108"/>
      <c r="E328" s="108"/>
      <c r="F328" s="108"/>
      <c r="G328" s="113"/>
      <c r="H328" s="114"/>
    </row>
    <row r="329" ht="17.25" customHeight="1">
      <c r="A329" s="102"/>
      <c r="B329" s="105" t="b">
        <v>0</v>
      </c>
      <c r="C329" s="107"/>
      <c r="D329" s="108"/>
      <c r="E329" s="108"/>
      <c r="F329" s="108"/>
      <c r="G329" s="113"/>
      <c r="H329" s="114"/>
    </row>
    <row r="330" ht="17.25" customHeight="1">
      <c r="A330" s="102"/>
      <c r="B330" s="105" t="b">
        <v>0</v>
      </c>
      <c r="C330" s="107"/>
      <c r="D330" s="108"/>
      <c r="E330" s="108"/>
      <c r="F330" s="108"/>
      <c r="G330" s="113"/>
      <c r="H330" s="114"/>
    </row>
    <row r="331" ht="17.25" customHeight="1">
      <c r="A331" s="102"/>
      <c r="B331" s="105" t="b">
        <v>0</v>
      </c>
      <c r="C331" s="107"/>
      <c r="D331" s="108"/>
      <c r="E331" s="108"/>
      <c r="F331" s="108"/>
      <c r="G331" s="113"/>
      <c r="H331" s="114"/>
    </row>
    <row r="332" ht="17.25" customHeight="1">
      <c r="A332" s="102"/>
      <c r="B332" s="105" t="b">
        <v>0</v>
      </c>
      <c r="C332" s="107"/>
      <c r="D332" s="108"/>
      <c r="E332" s="108"/>
      <c r="F332" s="108"/>
      <c r="G332" s="113"/>
      <c r="H332" s="114"/>
    </row>
    <row r="333" ht="17.25" customHeight="1">
      <c r="A333" s="102"/>
      <c r="B333" s="105" t="b">
        <v>0</v>
      </c>
      <c r="C333" s="107"/>
      <c r="D333" s="108"/>
      <c r="E333" s="108"/>
      <c r="F333" s="108"/>
      <c r="G333" s="113"/>
      <c r="H333" s="114"/>
    </row>
    <row r="334" ht="17.25" customHeight="1">
      <c r="A334" s="102"/>
      <c r="B334" s="105" t="b">
        <v>0</v>
      </c>
      <c r="C334" s="107"/>
      <c r="D334" s="108"/>
      <c r="E334" s="108"/>
      <c r="F334" s="108"/>
      <c r="G334" s="113"/>
      <c r="H334" s="114"/>
    </row>
    <row r="335" ht="17.25" customHeight="1">
      <c r="A335" s="102"/>
      <c r="B335" s="105" t="b">
        <v>0</v>
      </c>
      <c r="C335" s="107"/>
      <c r="D335" s="108"/>
      <c r="E335" s="108"/>
      <c r="F335" s="108"/>
      <c r="G335" s="113"/>
      <c r="H335" s="114"/>
    </row>
    <row r="336" ht="17.25" customHeight="1">
      <c r="A336" s="102"/>
      <c r="B336" s="105" t="b">
        <v>0</v>
      </c>
      <c r="C336" s="107"/>
      <c r="D336" s="108"/>
      <c r="E336" s="108"/>
      <c r="F336" s="108"/>
      <c r="G336" s="113"/>
      <c r="H336" s="114"/>
    </row>
    <row r="337" ht="17.25" customHeight="1">
      <c r="A337" s="102"/>
      <c r="B337" s="105" t="b">
        <v>0</v>
      </c>
      <c r="C337" s="107"/>
      <c r="D337" s="108"/>
      <c r="E337" s="108"/>
      <c r="F337" s="108"/>
      <c r="G337" s="113"/>
      <c r="H337" s="114"/>
    </row>
    <row r="338" ht="17.25" customHeight="1">
      <c r="A338" s="102"/>
      <c r="B338" s="105" t="b">
        <v>0</v>
      </c>
      <c r="C338" s="107"/>
      <c r="D338" s="108"/>
      <c r="E338" s="108"/>
      <c r="F338" s="108"/>
      <c r="G338" s="113"/>
      <c r="H338" s="114"/>
    </row>
    <row r="339" ht="17.25" customHeight="1">
      <c r="A339" s="102"/>
      <c r="B339" s="105" t="b">
        <v>0</v>
      </c>
      <c r="C339" s="107"/>
      <c r="D339" s="108"/>
      <c r="E339" s="108"/>
      <c r="F339" s="108"/>
      <c r="G339" s="113"/>
      <c r="H339" s="114"/>
    </row>
    <row r="340" ht="17.25" customHeight="1">
      <c r="A340" s="102"/>
      <c r="B340" s="105" t="b">
        <v>0</v>
      </c>
      <c r="C340" s="107"/>
      <c r="D340" s="108"/>
      <c r="E340" s="108"/>
      <c r="F340" s="108"/>
      <c r="G340" s="113"/>
      <c r="H340" s="114"/>
    </row>
    <row r="341" ht="17.25" customHeight="1">
      <c r="A341" s="102"/>
      <c r="B341" s="105" t="b">
        <v>0</v>
      </c>
      <c r="C341" s="107"/>
      <c r="D341" s="108"/>
      <c r="E341" s="108"/>
      <c r="F341" s="108"/>
      <c r="G341" s="113"/>
      <c r="H341" s="114"/>
    </row>
    <row r="342" ht="17.25" customHeight="1">
      <c r="A342" s="102"/>
      <c r="B342" s="105" t="b">
        <v>0</v>
      </c>
      <c r="C342" s="107"/>
      <c r="D342" s="108"/>
      <c r="E342" s="108"/>
      <c r="F342" s="108"/>
      <c r="G342" s="113"/>
      <c r="H342" s="114"/>
    </row>
    <row r="343" ht="17.25" customHeight="1">
      <c r="A343" s="102"/>
      <c r="B343" s="105" t="b">
        <v>0</v>
      </c>
      <c r="C343" s="107"/>
      <c r="D343" s="108"/>
      <c r="E343" s="108"/>
      <c r="F343" s="108"/>
      <c r="G343" s="113"/>
      <c r="H343" s="114"/>
    </row>
    <row r="344" ht="17.25" customHeight="1">
      <c r="A344" s="102"/>
      <c r="B344" s="105" t="b">
        <v>0</v>
      </c>
      <c r="C344" s="107"/>
      <c r="D344" s="108"/>
      <c r="E344" s="108"/>
      <c r="F344" s="108"/>
      <c r="G344" s="113"/>
      <c r="H344" s="114"/>
    </row>
    <row r="345" ht="17.25" customHeight="1">
      <c r="A345" s="102"/>
      <c r="B345" s="105" t="b">
        <v>0</v>
      </c>
      <c r="C345" s="107"/>
      <c r="D345" s="108"/>
      <c r="E345" s="108"/>
      <c r="F345" s="108"/>
      <c r="G345" s="113"/>
      <c r="H345" s="114"/>
    </row>
    <row r="346" ht="17.25" customHeight="1">
      <c r="A346" s="102"/>
      <c r="B346" s="105" t="b">
        <v>0</v>
      </c>
      <c r="C346" s="107"/>
      <c r="D346" s="108"/>
      <c r="E346" s="108"/>
      <c r="F346" s="108"/>
      <c r="G346" s="113"/>
      <c r="H346" s="114"/>
    </row>
    <row r="347" ht="17.25" customHeight="1">
      <c r="A347" s="102"/>
      <c r="B347" s="105" t="b">
        <v>0</v>
      </c>
      <c r="C347" s="107"/>
      <c r="D347" s="108"/>
      <c r="E347" s="108"/>
      <c r="F347" s="108"/>
      <c r="G347" s="113"/>
      <c r="H347" s="114"/>
    </row>
    <row r="348" ht="17.25" customHeight="1">
      <c r="A348" s="102"/>
      <c r="B348" s="105" t="b">
        <v>0</v>
      </c>
      <c r="C348" s="107"/>
      <c r="D348" s="108"/>
      <c r="E348" s="108"/>
      <c r="F348" s="108"/>
      <c r="G348" s="113"/>
      <c r="H348" s="114"/>
    </row>
    <row r="349" ht="17.25" customHeight="1">
      <c r="A349" s="102"/>
      <c r="B349" s="105" t="b">
        <v>0</v>
      </c>
      <c r="C349" s="107"/>
      <c r="D349" s="108"/>
      <c r="E349" s="108"/>
      <c r="F349" s="108"/>
      <c r="G349" s="113"/>
      <c r="H349" s="114"/>
    </row>
    <row r="350" ht="17.25" customHeight="1">
      <c r="A350" s="102"/>
      <c r="B350" s="105" t="b">
        <v>0</v>
      </c>
      <c r="C350" s="107"/>
      <c r="D350" s="108"/>
      <c r="E350" s="108"/>
      <c r="F350" s="108"/>
      <c r="G350" s="113"/>
      <c r="H350" s="114"/>
    </row>
    <row r="351" ht="17.25" customHeight="1">
      <c r="A351" s="102"/>
      <c r="B351" s="105" t="b">
        <v>0</v>
      </c>
      <c r="C351" s="107"/>
      <c r="D351" s="108"/>
      <c r="E351" s="108"/>
      <c r="F351" s="108"/>
      <c r="G351" s="113"/>
      <c r="H351" s="114"/>
    </row>
    <row r="352" ht="17.25" customHeight="1">
      <c r="A352" s="102"/>
      <c r="B352" s="105" t="b">
        <v>0</v>
      </c>
      <c r="C352" s="107"/>
      <c r="D352" s="108"/>
      <c r="E352" s="108"/>
      <c r="F352" s="108"/>
      <c r="G352" s="113"/>
      <c r="H352" s="114"/>
    </row>
    <row r="353" ht="17.25" customHeight="1">
      <c r="A353" s="102"/>
      <c r="B353" s="105" t="b">
        <v>0</v>
      </c>
      <c r="C353" s="107"/>
      <c r="D353" s="108"/>
      <c r="E353" s="108"/>
      <c r="F353" s="108"/>
      <c r="G353" s="113"/>
      <c r="H353" s="114"/>
    </row>
    <row r="354" ht="17.25" customHeight="1">
      <c r="A354" s="102"/>
      <c r="B354" s="105" t="b">
        <v>0</v>
      </c>
      <c r="C354" s="107"/>
      <c r="D354" s="108"/>
      <c r="E354" s="108"/>
      <c r="F354" s="108"/>
      <c r="G354" s="113"/>
      <c r="H354" s="114"/>
    </row>
    <row r="355" ht="17.25" customHeight="1">
      <c r="A355" s="102"/>
      <c r="B355" s="105" t="b">
        <v>0</v>
      </c>
      <c r="C355" s="107"/>
      <c r="D355" s="108"/>
      <c r="E355" s="108"/>
      <c r="F355" s="108"/>
      <c r="G355" s="113"/>
      <c r="H355" s="114"/>
    </row>
    <row r="356" ht="17.25" customHeight="1">
      <c r="A356" s="102"/>
      <c r="B356" s="105" t="b">
        <v>0</v>
      </c>
      <c r="C356" s="107"/>
      <c r="D356" s="108"/>
      <c r="E356" s="108"/>
      <c r="F356" s="108"/>
      <c r="G356" s="113"/>
      <c r="H356" s="114"/>
    </row>
    <row r="357" ht="17.25" customHeight="1">
      <c r="A357" s="102"/>
      <c r="B357" s="105" t="b">
        <v>0</v>
      </c>
      <c r="C357" s="107"/>
      <c r="D357" s="108"/>
      <c r="E357" s="108"/>
      <c r="F357" s="108"/>
      <c r="G357" s="113"/>
      <c r="H357" s="114"/>
    </row>
    <row r="358" ht="17.25" customHeight="1">
      <c r="A358" s="102"/>
      <c r="B358" s="105" t="b">
        <v>0</v>
      </c>
      <c r="C358" s="107"/>
      <c r="D358" s="108"/>
      <c r="E358" s="108"/>
      <c r="F358" s="108"/>
      <c r="G358" s="113"/>
      <c r="H358" s="114"/>
    </row>
    <row r="359" ht="17.25" customHeight="1">
      <c r="A359" s="102"/>
      <c r="B359" s="105" t="b">
        <v>0</v>
      </c>
      <c r="C359" s="107"/>
      <c r="D359" s="108"/>
      <c r="E359" s="108"/>
      <c r="F359" s="108"/>
      <c r="G359" s="113"/>
      <c r="H359" s="114"/>
    </row>
    <row r="360" ht="17.25" customHeight="1">
      <c r="A360" s="102"/>
      <c r="B360" s="105" t="b">
        <v>0</v>
      </c>
      <c r="C360" s="107"/>
      <c r="D360" s="108"/>
      <c r="E360" s="108"/>
      <c r="F360" s="108"/>
      <c r="G360" s="113"/>
      <c r="H360" s="114"/>
    </row>
    <row r="361" ht="17.25" customHeight="1">
      <c r="A361" s="102"/>
      <c r="B361" s="105" t="b">
        <v>0</v>
      </c>
      <c r="C361" s="107"/>
      <c r="D361" s="108"/>
      <c r="E361" s="108"/>
      <c r="F361" s="108"/>
      <c r="G361" s="113"/>
      <c r="H361" s="114"/>
    </row>
    <row r="362" ht="17.25" customHeight="1">
      <c r="A362" s="102"/>
      <c r="B362" s="105" t="b">
        <v>0</v>
      </c>
      <c r="C362" s="107"/>
      <c r="D362" s="108"/>
      <c r="E362" s="108"/>
      <c r="F362" s="108"/>
      <c r="G362" s="113"/>
      <c r="H362" s="114"/>
    </row>
    <row r="363" ht="17.25" customHeight="1">
      <c r="A363" s="102"/>
      <c r="B363" s="105" t="b">
        <v>0</v>
      </c>
      <c r="C363" s="107"/>
      <c r="D363" s="108"/>
      <c r="E363" s="108"/>
      <c r="F363" s="108"/>
      <c r="G363" s="113"/>
      <c r="H363" s="114"/>
    </row>
    <row r="364" ht="17.25" customHeight="1">
      <c r="A364" s="102"/>
      <c r="B364" s="105" t="b">
        <v>0</v>
      </c>
      <c r="C364" s="107"/>
      <c r="D364" s="108"/>
      <c r="E364" s="108"/>
      <c r="F364" s="108"/>
      <c r="G364" s="113"/>
      <c r="H364" s="114"/>
    </row>
    <row r="365" ht="17.25" customHeight="1">
      <c r="A365" s="102"/>
      <c r="B365" s="105" t="b">
        <v>0</v>
      </c>
      <c r="C365" s="107"/>
      <c r="D365" s="108"/>
      <c r="E365" s="108"/>
      <c r="F365" s="108"/>
      <c r="G365" s="113"/>
      <c r="H365" s="114"/>
    </row>
    <row r="366" ht="17.25" customHeight="1">
      <c r="A366" s="102"/>
      <c r="B366" s="105" t="b">
        <v>0</v>
      </c>
      <c r="C366" s="107"/>
      <c r="D366" s="108"/>
      <c r="E366" s="108"/>
      <c r="F366" s="108"/>
      <c r="G366" s="113"/>
      <c r="H366" s="114"/>
    </row>
    <row r="367" ht="17.25" customHeight="1">
      <c r="A367" s="102"/>
      <c r="B367" s="105" t="b">
        <v>0</v>
      </c>
      <c r="C367" s="107"/>
      <c r="D367" s="108"/>
      <c r="E367" s="108"/>
      <c r="F367" s="108"/>
      <c r="G367" s="113"/>
      <c r="H367" s="114"/>
    </row>
    <row r="368" ht="17.25" customHeight="1">
      <c r="A368" s="102"/>
      <c r="B368" s="105" t="b">
        <v>0</v>
      </c>
      <c r="C368" s="107"/>
      <c r="D368" s="108"/>
      <c r="E368" s="108"/>
      <c r="F368" s="108"/>
      <c r="G368" s="113"/>
      <c r="H368" s="114"/>
    </row>
    <row r="369" ht="17.25" customHeight="1">
      <c r="A369" s="102"/>
      <c r="B369" s="105" t="b">
        <v>0</v>
      </c>
      <c r="C369" s="107"/>
      <c r="D369" s="108"/>
      <c r="E369" s="108"/>
      <c r="F369" s="108"/>
      <c r="G369" s="113"/>
      <c r="H369" s="114"/>
    </row>
    <row r="370" ht="17.25" customHeight="1">
      <c r="A370" s="102"/>
      <c r="B370" s="105" t="b">
        <v>0</v>
      </c>
      <c r="C370" s="107"/>
      <c r="D370" s="108"/>
      <c r="E370" s="108"/>
      <c r="F370" s="108"/>
      <c r="G370" s="113"/>
      <c r="H370" s="114"/>
    </row>
    <row r="371" ht="17.25" customHeight="1">
      <c r="A371" s="102"/>
      <c r="B371" s="105" t="b">
        <v>0</v>
      </c>
      <c r="C371" s="107"/>
      <c r="D371" s="108"/>
      <c r="E371" s="108"/>
      <c r="F371" s="108"/>
      <c r="G371" s="113"/>
      <c r="H371" s="114"/>
    </row>
    <row r="372" ht="17.25" customHeight="1">
      <c r="A372" s="102"/>
      <c r="B372" s="105" t="b">
        <v>0</v>
      </c>
      <c r="C372" s="107"/>
      <c r="D372" s="108"/>
      <c r="E372" s="108"/>
      <c r="F372" s="108"/>
      <c r="G372" s="113"/>
      <c r="H372" s="114"/>
    </row>
    <row r="373" ht="17.25" customHeight="1">
      <c r="A373" s="102"/>
      <c r="B373" s="105" t="b">
        <v>0</v>
      </c>
      <c r="C373" s="107"/>
      <c r="D373" s="108"/>
      <c r="E373" s="108"/>
      <c r="F373" s="108"/>
      <c r="G373" s="113"/>
      <c r="H373" s="114"/>
    </row>
    <row r="374" ht="17.25" customHeight="1">
      <c r="A374" s="102"/>
      <c r="B374" s="105" t="b">
        <v>0</v>
      </c>
      <c r="C374" s="107"/>
      <c r="D374" s="108"/>
      <c r="E374" s="108"/>
      <c r="F374" s="108"/>
      <c r="G374" s="113"/>
      <c r="H374" s="114"/>
    </row>
    <row r="375" ht="17.25" customHeight="1">
      <c r="A375" s="102"/>
      <c r="B375" s="105" t="b">
        <v>0</v>
      </c>
      <c r="C375" s="107"/>
      <c r="D375" s="108"/>
      <c r="E375" s="108"/>
      <c r="F375" s="108"/>
      <c r="G375" s="113"/>
      <c r="H375" s="114"/>
    </row>
    <row r="376" ht="17.25" customHeight="1">
      <c r="A376" s="102"/>
      <c r="B376" s="105" t="b">
        <v>0</v>
      </c>
      <c r="C376" s="107"/>
      <c r="D376" s="108"/>
      <c r="E376" s="108"/>
      <c r="F376" s="108"/>
      <c r="G376" s="113"/>
      <c r="H376" s="114"/>
    </row>
    <row r="377" ht="17.25" customHeight="1">
      <c r="A377" s="102"/>
      <c r="B377" s="105" t="b">
        <v>0</v>
      </c>
      <c r="C377" s="107"/>
      <c r="D377" s="108"/>
      <c r="E377" s="108"/>
      <c r="F377" s="108"/>
      <c r="G377" s="113"/>
      <c r="H377" s="114"/>
    </row>
    <row r="378" ht="17.25" customHeight="1">
      <c r="A378" s="102"/>
      <c r="B378" s="105" t="b">
        <v>0</v>
      </c>
      <c r="C378" s="107"/>
      <c r="D378" s="108"/>
      <c r="E378" s="108"/>
      <c r="F378" s="108"/>
      <c r="G378" s="113"/>
      <c r="H378" s="114"/>
    </row>
    <row r="379" ht="17.25" customHeight="1">
      <c r="A379" s="102"/>
      <c r="B379" s="105" t="b">
        <v>0</v>
      </c>
      <c r="C379" s="107"/>
      <c r="D379" s="108"/>
      <c r="E379" s="108"/>
      <c r="F379" s="108"/>
      <c r="G379" s="113"/>
      <c r="H379" s="114"/>
    </row>
    <row r="380" ht="17.25" customHeight="1">
      <c r="A380" s="102"/>
      <c r="B380" s="105" t="b">
        <v>0</v>
      </c>
      <c r="C380" s="107"/>
      <c r="D380" s="108"/>
      <c r="E380" s="108"/>
      <c r="F380" s="108"/>
      <c r="G380" s="113"/>
      <c r="H380" s="114"/>
    </row>
    <row r="381" ht="17.25" customHeight="1">
      <c r="A381" s="102"/>
      <c r="B381" s="105" t="b">
        <v>0</v>
      </c>
      <c r="C381" s="107"/>
      <c r="D381" s="108"/>
      <c r="E381" s="108"/>
      <c r="F381" s="108"/>
      <c r="G381" s="113"/>
      <c r="H381" s="114"/>
    </row>
    <row r="382" ht="17.25" customHeight="1">
      <c r="A382" s="102"/>
      <c r="B382" s="105" t="b">
        <v>0</v>
      </c>
      <c r="C382" s="107"/>
      <c r="D382" s="108"/>
      <c r="E382" s="108"/>
      <c r="F382" s="108"/>
      <c r="G382" s="113"/>
      <c r="H382" s="114"/>
    </row>
    <row r="383" ht="17.25" customHeight="1">
      <c r="A383" s="102"/>
      <c r="B383" s="105" t="b">
        <v>0</v>
      </c>
      <c r="C383" s="107"/>
      <c r="D383" s="108"/>
      <c r="E383" s="108"/>
      <c r="F383" s="108"/>
      <c r="G383" s="113"/>
      <c r="H383" s="114"/>
    </row>
    <row r="384" ht="17.25" customHeight="1">
      <c r="A384" s="102"/>
      <c r="B384" s="105" t="b">
        <v>0</v>
      </c>
      <c r="C384" s="107"/>
      <c r="D384" s="108"/>
      <c r="E384" s="108"/>
      <c r="F384" s="108"/>
      <c r="G384" s="113"/>
      <c r="H384" s="114"/>
    </row>
    <row r="385" ht="17.25" customHeight="1">
      <c r="A385" s="102"/>
      <c r="B385" s="105" t="b">
        <v>0</v>
      </c>
      <c r="C385" s="107"/>
      <c r="D385" s="108"/>
      <c r="E385" s="108"/>
      <c r="F385" s="108"/>
      <c r="G385" s="113"/>
      <c r="H385" s="114"/>
    </row>
    <row r="386" ht="17.25" customHeight="1">
      <c r="A386" s="102"/>
      <c r="B386" s="105" t="b">
        <v>0</v>
      </c>
      <c r="C386" s="107"/>
      <c r="D386" s="108"/>
      <c r="E386" s="108"/>
      <c r="F386" s="108"/>
      <c r="G386" s="113"/>
      <c r="H386" s="114"/>
    </row>
    <row r="387" ht="17.25" customHeight="1">
      <c r="A387" s="102"/>
      <c r="B387" s="105" t="b">
        <v>0</v>
      </c>
      <c r="C387" s="107"/>
      <c r="D387" s="108"/>
      <c r="E387" s="108"/>
      <c r="F387" s="108"/>
      <c r="G387" s="113"/>
      <c r="H387" s="114"/>
    </row>
    <row r="388" ht="17.25" customHeight="1">
      <c r="A388" s="102"/>
      <c r="B388" s="105" t="b">
        <v>0</v>
      </c>
      <c r="C388" s="107"/>
      <c r="D388" s="108"/>
      <c r="E388" s="108"/>
      <c r="F388" s="108"/>
      <c r="G388" s="113"/>
      <c r="H388" s="114"/>
    </row>
    <row r="389" ht="17.25" customHeight="1">
      <c r="A389" s="102"/>
      <c r="B389" s="105" t="b">
        <v>0</v>
      </c>
      <c r="C389" s="107"/>
      <c r="D389" s="108"/>
      <c r="E389" s="108"/>
      <c r="F389" s="108"/>
      <c r="G389" s="113"/>
      <c r="H389" s="114"/>
    </row>
    <row r="390" ht="17.25" customHeight="1">
      <c r="A390" s="102"/>
      <c r="B390" s="105" t="b">
        <v>0</v>
      </c>
      <c r="C390" s="107"/>
      <c r="D390" s="108"/>
      <c r="E390" s="108"/>
      <c r="F390" s="108"/>
      <c r="G390" s="113"/>
      <c r="H390" s="114"/>
    </row>
    <row r="391" ht="17.25" customHeight="1">
      <c r="A391" s="102"/>
      <c r="B391" s="105" t="b">
        <v>0</v>
      </c>
      <c r="C391" s="107"/>
      <c r="D391" s="108"/>
      <c r="E391" s="108"/>
      <c r="F391" s="108"/>
      <c r="G391" s="113"/>
      <c r="H391" s="114"/>
    </row>
    <row r="392" ht="17.25" customHeight="1">
      <c r="A392" s="102"/>
      <c r="B392" s="105" t="b">
        <v>0</v>
      </c>
      <c r="C392" s="107"/>
      <c r="D392" s="108"/>
      <c r="E392" s="108"/>
      <c r="F392" s="108"/>
      <c r="G392" s="113"/>
      <c r="H392" s="114"/>
    </row>
    <row r="393" ht="17.25" customHeight="1">
      <c r="A393" s="102"/>
      <c r="B393" s="105" t="b">
        <v>0</v>
      </c>
      <c r="C393" s="107"/>
      <c r="D393" s="108"/>
      <c r="E393" s="108"/>
      <c r="F393" s="108"/>
      <c r="G393" s="113"/>
      <c r="H393" s="114"/>
    </row>
    <row r="394" ht="17.25" customHeight="1">
      <c r="A394" s="102"/>
      <c r="B394" s="105" t="b">
        <v>0</v>
      </c>
      <c r="C394" s="107"/>
      <c r="D394" s="108"/>
      <c r="E394" s="108"/>
      <c r="F394" s="108"/>
      <c r="G394" s="113"/>
      <c r="H394" s="114"/>
    </row>
    <row r="395" ht="17.25" customHeight="1">
      <c r="A395" s="102"/>
      <c r="B395" s="105" t="b">
        <v>0</v>
      </c>
      <c r="C395" s="107"/>
      <c r="D395" s="108"/>
      <c r="E395" s="108"/>
      <c r="F395" s="108"/>
      <c r="G395" s="113"/>
      <c r="H395" s="114"/>
    </row>
    <row r="396" ht="17.25" customHeight="1">
      <c r="A396" s="102"/>
      <c r="B396" s="105" t="b">
        <v>0</v>
      </c>
      <c r="C396" s="107"/>
      <c r="D396" s="108"/>
      <c r="E396" s="108"/>
      <c r="F396" s="108"/>
      <c r="G396" s="113"/>
      <c r="H396" s="114"/>
    </row>
    <row r="397" ht="17.25" customHeight="1">
      <c r="A397" s="102"/>
      <c r="B397" s="105" t="b">
        <v>0</v>
      </c>
      <c r="C397" s="107"/>
      <c r="D397" s="108"/>
      <c r="E397" s="108"/>
      <c r="F397" s="108"/>
      <c r="G397" s="113"/>
      <c r="H397" s="114"/>
    </row>
    <row r="398" ht="17.25" customHeight="1">
      <c r="A398" s="102"/>
      <c r="B398" s="105" t="b">
        <v>0</v>
      </c>
      <c r="C398" s="107"/>
      <c r="D398" s="108"/>
      <c r="E398" s="108"/>
      <c r="F398" s="108"/>
      <c r="G398" s="113"/>
      <c r="H398" s="114"/>
    </row>
    <row r="399" ht="17.25" customHeight="1">
      <c r="A399" s="102"/>
      <c r="B399" s="105" t="b">
        <v>0</v>
      </c>
      <c r="C399" s="107"/>
      <c r="D399" s="108"/>
      <c r="E399" s="108"/>
      <c r="F399" s="108"/>
      <c r="G399" s="113"/>
      <c r="H399" s="114"/>
    </row>
    <row r="400" ht="17.25" customHeight="1">
      <c r="A400" s="102"/>
      <c r="B400" s="105" t="b">
        <v>0</v>
      </c>
      <c r="C400" s="107"/>
      <c r="D400" s="108"/>
      <c r="E400" s="108"/>
      <c r="F400" s="108"/>
      <c r="G400" s="113"/>
      <c r="H400" s="114"/>
    </row>
    <row r="401" ht="17.25" customHeight="1">
      <c r="A401" s="102"/>
      <c r="B401" s="105" t="b">
        <v>0</v>
      </c>
      <c r="C401" s="107"/>
      <c r="D401" s="108"/>
      <c r="E401" s="108"/>
      <c r="F401" s="108"/>
      <c r="G401" s="113"/>
      <c r="H401" s="114"/>
    </row>
    <row r="402" ht="17.25" customHeight="1">
      <c r="A402" s="102"/>
      <c r="B402" s="105" t="b">
        <v>0</v>
      </c>
      <c r="C402" s="107"/>
      <c r="D402" s="108"/>
      <c r="E402" s="108"/>
      <c r="F402" s="108"/>
      <c r="G402" s="113"/>
      <c r="H402" s="114"/>
    </row>
    <row r="403" ht="17.25" customHeight="1">
      <c r="A403" s="102"/>
      <c r="B403" s="105" t="b">
        <v>0</v>
      </c>
      <c r="C403" s="107"/>
      <c r="D403" s="108"/>
      <c r="E403" s="108"/>
      <c r="F403" s="108"/>
      <c r="G403" s="113"/>
      <c r="H403" s="114"/>
    </row>
    <row r="404" ht="17.25" customHeight="1">
      <c r="A404" s="102"/>
      <c r="B404" s="105" t="b">
        <v>0</v>
      </c>
      <c r="C404" s="107"/>
      <c r="D404" s="108"/>
      <c r="E404" s="108"/>
      <c r="F404" s="108"/>
      <c r="G404" s="113"/>
      <c r="H404" s="114"/>
    </row>
    <row r="405" ht="17.25" customHeight="1">
      <c r="A405" s="102"/>
      <c r="B405" s="105" t="b">
        <v>0</v>
      </c>
      <c r="C405" s="107"/>
      <c r="D405" s="108"/>
      <c r="E405" s="108"/>
      <c r="F405" s="108"/>
      <c r="G405" s="113"/>
      <c r="H405" s="114"/>
    </row>
    <row r="406" ht="17.25" customHeight="1">
      <c r="A406" s="102"/>
      <c r="B406" s="105" t="b">
        <v>0</v>
      </c>
      <c r="C406" s="107"/>
      <c r="D406" s="108"/>
      <c r="E406" s="108"/>
      <c r="F406" s="108"/>
      <c r="G406" s="113"/>
      <c r="H406" s="114"/>
    </row>
    <row r="407" ht="17.25" customHeight="1">
      <c r="A407" s="102"/>
      <c r="B407" s="105" t="b">
        <v>0</v>
      </c>
      <c r="C407" s="107"/>
      <c r="D407" s="108"/>
      <c r="E407" s="108"/>
      <c r="F407" s="108"/>
      <c r="G407" s="113"/>
      <c r="H407" s="114"/>
    </row>
    <row r="408" ht="17.25" customHeight="1">
      <c r="A408" s="102"/>
      <c r="B408" s="105" t="b">
        <v>0</v>
      </c>
      <c r="C408" s="107"/>
      <c r="D408" s="108"/>
      <c r="E408" s="108"/>
      <c r="F408" s="108"/>
      <c r="G408" s="113"/>
      <c r="H408" s="114"/>
    </row>
    <row r="409" ht="17.25" customHeight="1">
      <c r="A409" s="102"/>
      <c r="B409" s="105" t="b">
        <v>0</v>
      </c>
      <c r="C409" s="107"/>
      <c r="D409" s="108"/>
      <c r="E409" s="108"/>
      <c r="F409" s="108"/>
      <c r="G409" s="113"/>
      <c r="H409" s="114"/>
    </row>
    <row r="410" ht="17.25" customHeight="1">
      <c r="A410" s="102"/>
      <c r="B410" s="105" t="b">
        <v>0</v>
      </c>
      <c r="C410" s="107"/>
      <c r="D410" s="108"/>
      <c r="E410" s="108"/>
      <c r="F410" s="108"/>
      <c r="G410" s="113"/>
      <c r="H410" s="114"/>
    </row>
    <row r="411" ht="17.25" customHeight="1">
      <c r="A411" s="102"/>
      <c r="B411" s="105" t="b">
        <v>0</v>
      </c>
      <c r="C411" s="107"/>
      <c r="D411" s="108"/>
      <c r="E411" s="108"/>
      <c r="F411" s="108"/>
      <c r="G411" s="113"/>
      <c r="H411" s="114"/>
    </row>
    <row r="412" ht="17.25" customHeight="1">
      <c r="A412" s="102"/>
      <c r="B412" s="105" t="b">
        <v>0</v>
      </c>
      <c r="C412" s="107"/>
      <c r="D412" s="108"/>
      <c r="E412" s="108"/>
      <c r="F412" s="108"/>
      <c r="G412" s="113"/>
      <c r="H412" s="114"/>
    </row>
    <row r="413" ht="17.25" customHeight="1">
      <c r="A413" s="102"/>
      <c r="B413" s="105" t="b">
        <v>0</v>
      </c>
      <c r="C413" s="107"/>
      <c r="D413" s="108"/>
      <c r="E413" s="108"/>
      <c r="F413" s="108"/>
      <c r="G413" s="113"/>
      <c r="H413" s="114"/>
    </row>
    <row r="414" ht="17.25" customHeight="1">
      <c r="A414" s="102"/>
      <c r="B414" s="105" t="b">
        <v>0</v>
      </c>
      <c r="C414" s="107"/>
      <c r="D414" s="108"/>
      <c r="E414" s="108"/>
      <c r="F414" s="108"/>
      <c r="G414" s="113"/>
      <c r="H414" s="114"/>
    </row>
    <row r="415" ht="17.25" customHeight="1">
      <c r="A415" s="102"/>
      <c r="B415" s="105" t="b">
        <v>0</v>
      </c>
      <c r="C415" s="107"/>
      <c r="D415" s="108"/>
      <c r="E415" s="108"/>
      <c r="F415" s="108"/>
      <c r="G415" s="113"/>
      <c r="H415" s="114"/>
    </row>
    <row r="416" ht="17.25" customHeight="1">
      <c r="A416" s="102"/>
      <c r="B416" s="105" t="b">
        <v>0</v>
      </c>
      <c r="C416" s="107"/>
      <c r="D416" s="108"/>
      <c r="E416" s="108"/>
      <c r="F416" s="108"/>
      <c r="G416" s="113"/>
      <c r="H416" s="114"/>
    </row>
    <row r="417" ht="17.25" customHeight="1">
      <c r="A417" s="102"/>
      <c r="B417" s="105" t="b">
        <v>0</v>
      </c>
      <c r="C417" s="107"/>
      <c r="D417" s="108"/>
      <c r="E417" s="108"/>
      <c r="F417" s="108"/>
      <c r="G417" s="113"/>
      <c r="H417" s="114"/>
    </row>
    <row r="418" ht="17.25" customHeight="1">
      <c r="A418" s="102"/>
      <c r="B418" s="105" t="b">
        <v>0</v>
      </c>
      <c r="C418" s="107"/>
      <c r="D418" s="108"/>
      <c r="E418" s="108"/>
      <c r="F418" s="108"/>
      <c r="G418" s="113"/>
      <c r="H418" s="114"/>
    </row>
    <row r="419" ht="17.25" customHeight="1">
      <c r="A419" s="102"/>
      <c r="B419" s="105" t="b">
        <v>0</v>
      </c>
      <c r="C419" s="107"/>
      <c r="D419" s="108"/>
      <c r="E419" s="108"/>
      <c r="F419" s="108"/>
      <c r="G419" s="113"/>
      <c r="H419" s="114"/>
    </row>
    <row r="420" ht="17.25" customHeight="1">
      <c r="A420" s="102"/>
      <c r="B420" s="105" t="b">
        <v>0</v>
      </c>
      <c r="C420" s="107"/>
      <c r="D420" s="108"/>
      <c r="E420" s="108"/>
      <c r="F420" s="108"/>
      <c r="G420" s="113"/>
      <c r="H420" s="114"/>
    </row>
    <row r="421" ht="17.25" customHeight="1">
      <c r="A421" s="102"/>
      <c r="B421" s="105" t="b">
        <v>0</v>
      </c>
      <c r="C421" s="107"/>
      <c r="D421" s="108"/>
      <c r="E421" s="108"/>
      <c r="F421" s="108"/>
      <c r="G421" s="113"/>
      <c r="H421" s="114"/>
    </row>
    <row r="422" ht="17.25" customHeight="1">
      <c r="A422" s="102"/>
      <c r="B422" s="105" t="b">
        <v>0</v>
      </c>
      <c r="C422" s="107"/>
      <c r="D422" s="108"/>
      <c r="E422" s="108"/>
      <c r="F422" s="108"/>
      <c r="G422" s="113"/>
      <c r="H422" s="114"/>
    </row>
    <row r="423" ht="17.25" customHeight="1">
      <c r="A423" s="102"/>
      <c r="B423" s="105" t="b">
        <v>0</v>
      </c>
      <c r="C423" s="107"/>
      <c r="D423" s="108"/>
      <c r="E423" s="108"/>
      <c r="F423" s="108"/>
      <c r="G423" s="113"/>
      <c r="H423" s="114"/>
    </row>
    <row r="424" ht="17.25" customHeight="1">
      <c r="A424" s="102"/>
      <c r="B424" s="105" t="b">
        <v>0</v>
      </c>
      <c r="C424" s="107"/>
      <c r="D424" s="108"/>
      <c r="E424" s="108"/>
      <c r="F424" s="108"/>
      <c r="G424" s="113"/>
      <c r="H424" s="114"/>
    </row>
    <row r="425" ht="17.25" customHeight="1">
      <c r="A425" s="102"/>
      <c r="B425" s="105" t="b">
        <v>0</v>
      </c>
      <c r="C425" s="107"/>
      <c r="D425" s="108"/>
      <c r="E425" s="108"/>
      <c r="F425" s="108"/>
      <c r="G425" s="113"/>
      <c r="H425" s="114"/>
    </row>
    <row r="426" ht="17.25" customHeight="1">
      <c r="A426" s="102"/>
      <c r="B426" s="105" t="b">
        <v>0</v>
      </c>
      <c r="C426" s="107"/>
      <c r="D426" s="108"/>
      <c r="E426" s="108"/>
      <c r="F426" s="108"/>
      <c r="G426" s="113"/>
      <c r="H426" s="114"/>
    </row>
    <row r="427" ht="17.25" customHeight="1">
      <c r="A427" s="102"/>
      <c r="B427" s="105" t="b">
        <v>0</v>
      </c>
      <c r="C427" s="107"/>
      <c r="D427" s="108"/>
      <c r="E427" s="108"/>
      <c r="F427" s="108"/>
      <c r="G427" s="113"/>
      <c r="H427" s="114"/>
    </row>
    <row r="428" ht="17.25" customHeight="1">
      <c r="A428" s="102"/>
      <c r="B428" s="105" t="b">
        <v>0</v>
      </c>
      <c r="C428" s="107"/>
      <c r="D428" s="108"/>
      <c r="E428" s="108"/>
      <c r="F428" s="108"/>
      <c r="G428" s="113"/>
      <c r="H428" s="114"/>
    </row>
    <row r="429" ht="17.25" customHeight="1">
      <c r="A429" s="102"/>
      <c r="B429" s="105" t="b">
        <v>0</v>
      </c>
      <c r="C429" s="107"/>
      <c r="D429" s="108"/>
      <c r="E429" s="108"/>
      <c r="F429" s="108"/>
      <c r="G429" s="113"/>
      <c r="H429" s="114"/>
    </row>
    <row r="430" ht="17.25" customHeight="1">
      <c r="A430" s="102"/>
      <c r="B430" s="105" t="b">
        <v>0</v>
      </c>
      <c r="C430" s="107"/>
      <c r="D430" s="108"/>
      <c r="E430" s="108"/>
      <c r="F430" s="108"/>
      <c r="G430" s="113"/>
      <c r="H430" s="114"/>
    </row>
    <row r="431" ht="17.25" customHeight="1">
      <c r="A431" s="102"/>
      <c r="B431" s="105" t="b">
        <v>0</v>
      </c>
      <c r="C431" s="107"/>
      <c r="D431" s="108"/>
      <c r="E431" s="108"/>
      <c r="F431" s="108"/>
      <c r="G431" s="113"/>
      <c r="H431" s="114"/>
    </row>
    <row r="432" ht="17.25" customHeight="1">
      <c r="A432" s="102"/>
      <c r="B432" s="105" t="b">
        <v>0</v>
      </c>
      <c r="C432" s="107"/>
      <c r="D432" s="108"/>
      <c r="E432" s="108"/>
      <c r="F432" s="108"/>
      <c r="G432" s="113"/>
      <c r="H432" s="114"/>
    </row>
    <row r="433" ht="17.25" customHeight="1">
      <c r="A433" s="102"/>
      <c r="B433" s="105" t="b">
        <v>0</v>
      </c>
      <c r="C433" s="107"/>
      <c r="D433" s="108"/>
      <c r="E433" s="108"/>
      <c r="F433" s="108"/>
      <c r="G433" s="113"/>
      <c r="H433" s="114"/>
    </row>
    <row r="434" ht="17.25" customHeight="1">
      <c r="A434" s="102"/>
      <c r="B434" s="105" t="b">
        <v>0</v>
      </c>
      <c r="C434" s="107"/>
      <c r="D434" s="108"/>
      <c r="E434" s="108"/>
      <c r="F434" s="108"/>
      <c r="G434" s="113"/>
      <c r="H434" s="114"/>
    </row>
    <row r="435" ht="17.25" customHeight="1">
      <c r="A435" s="102"/>
      <c r="B435" s="105" t="b">
        <v>0</v>
      </c>
      <c r="C435" s="107"/>
      <c r="D435" s="108"/>
      <c r="E435" s="108"/>
      <c r="F435" s="108"/>
      <c r="G435" s="113"/>
      <c r="H435" s="114"/>
    </row>
    <row r="436" ht="17.25" customHeight="1">
      <c r="A436" s="102"/>
      <c r="B436" s="105" t="b">
        <v>0</v>
      </c>
      <c r="C436" s="107"/>
      <c r="D436" s="108"/>
      <c r="E436" s="108"/>
      <c r="F436" s="108"/>
      <c r="G436" s="113"/>
      <c r="H436" s="114"/>
    </row>
    <row r="437" ht="17.25" customHeight="1">
      <c r="A437" s="102"/>
      <c r="B437" s="105" t="b">
        <v>0</v>
      </c>
      <c r="C437" s="107"/>
      <c r="D437" s="108"/>
      <c r="E437" s="108"/>
      <c r="F437" s="108"/>
      <c r="G437" s="113"/>
      <c r="H437" s="114"/>
    </row>
    <row r="438" ht="17.25" customHeight="1">
      <c r="A438" s="102"/>
      <c r="B438" s="105" t="b">
        <v>0</v>
      </c>
      <c r="C438" s="107"/>
      <c r="D438" s="108"/>
      <c r="E438" s="108"/>
      <c r="F438" s="108"/>
      <c r="G438" s="113"/>
      <c r="H438" s="114"/>
    </row>
    <row r="439" ht="17.25" customHeight="1">
      <c r="A439" s="102"/>
      <c r="B439" s="105" t="b">
        <v>0</v>
      </c>
      <c r="C439" s="107"/>
      <c r="D439" s="108"/>
      <c r="E439" s="108"/>
      <c r="F439" s="108"/>
      <c r="G439" s="113"/>
      <c r="H439" s="114"/>
    </row>
    <row r="440" ht="17.25" customHeight="1">
      <c r="A440" s="102"/>
      <c r="B440" s="105" t="b">
        <v>0</v>
      </c>
      <c r="C440" s="107"/>
      <c r="D440" s="108"/>
      <c r="E440" s="108"/>
      <c r="F440" s="108"/>
      <c r="G440" s="113"/>
      <c r="H440" s="114"/>
    </row>
    <row r="441" ht="17.25" customHeight="1">
      <c r="A441" s="102"/>
      <c r="B441" s="105" t="b">
        <v>0</v>
      </c>
      <c r="C441" s="107"/>
      <c r="D441" s="108"/>
      <c r="E441" s="108"/>
      <c r="F441" s="108"/>
      <c r="G441" s="113"/>
      <c r="H441" s="114"/>
    </row>
    <row r="442" ht="17.25" customHeight="1">
      <c r="A442" s="102"/>
      <c r="B442" s="105" t="b">
        <v>0</v>
      </c>
      <c r="C442" s="107"/>
      <c r="D442" s="108"/>
      <c r="E442" s="108"/>
      <c r="F442" s="108"/>
      <c r="G442" s="113"/>
      <c r="H442" s="114"/>
    </row>
    <row r="443" ht="17.25" customHeight="1">
      <c r="A443" s="102"/>
      <c r="B443" s="105" t="b">
        <v>0</v>
      </c>
      <c r="C443" s="107"/>
      <c r="D443" s="108"/>
      <c r="E443" s="108"/>
      <c r="F443" s="108"/>
      <c r="G443" s="113"/>
      <c r="H443" s="114"/>
    </row>
    <row r="444" ht="17.25" customHeight="1">
      <c r="A444" s="102"/>
      <c r="B444" s="105" t="b">
        <v>0</v>
      </c>
      <c r="C444" s="107"/>
      <c r="D444" s="108"/>
      <c r="E444" s="108"/>
      <c r="F444" s="108"/>
      <c r="G444" s="113"/>
      <c r="H444" s="114"/>
    </row>
    <row r="445" ht="17.25" customHeight="1">
      <c r="A445" s="102"/>
      <c r="B445" s="105" t="b">
        <v>0</v>
      </c>
      <c r="C445" s="107"/>
      <c r="D445" s="108"/>
      <c r="E445" s="108"/>
      <c r="F445" s="108"/>
      <c r="G445" s="113"/>
      <c r="H445" s="114"/>
    </row>
    <row r="446" ht="17.25" customHeight="1">
      <c r="A446" s="102"/>
      <c r="B446" s="105" t="b">
        <v>0</v>
      </c>
      <c r="C446" s="107"/>
      <c r="D446" s="108"/>
      <c r="E446" s="108"/>
      <c r="F446" s="108"/>
      <c r="G446" s="113"/>
      <c r="H446" s="114"/>
    </row>
    <row r="447" ht="17.25" customHeight="1">
      <c r="A447" s="102"/>
      <c r="B447" s="105" t="b">
        <v>0</v>
      </c>
      <c r="C447" s="107"/>
      <c r="D447" s="108"/>
      <c r="E447" s="108"/>
      <c r="F447" s="108"/>
      <c r="G447" s="113"/>
      <c r="H447" s="114"/>
    </row>
    <row r="448" ht="17.25" customHeight="1">
      <c r="A448" s="102"/>
      <c r="B448" s="105" t="b">
        <v>0</v>
      </c>
      <c r="C448" s="107"/>
      <c r="D448" s="108"/>
      <c r="E448" s="108"/>
      <c r="F448" s="108"/>
      <c r="G448" s="113"/>
      <c r="H448" s="114"/>
    </row>
    <row r="449" ht="17.25" customHeight="1">
      <c r="A449" s="102"/>
      <c r="B449" s="105" t="b">
        <v>0</v>
      </c>
      <c r="C449" s="107"/>
      <c r="D449" s="108"/>
      <c r="E449" s="108"/>
      <c r="F449" s="108"/>
      <c r="G449" s="113"/>
      <c r="H449" s="114"/>
    </row>
    <row r="450" ht="17.25" customHeight="1">
      <c r="A450" s="102"/>
      <c r="B450" s="105" t="b">
        <v>0</v>
      </c>
      <c r="C450" s="107"/>
      <c r="D450" s="108"/>
      <c r="E450" s="108"/>
      <c r="F450" s="108"/>
      <c r="G450" s="113"/>
      <c r="H450" s="114"/>
    </row>
    <row r="451" ht="17.25" customHeight="1">
      <c r="A451" s="102"/>
      <c r="B451" s="105" t="b">
        <v>0</v>
      </c>
      <c r="C451" s="107"/>
      <c r="D451" s="108"/>
      <c r="E451" s="108"/>
      <c r="F451" s="108"/>
      <c r="G451" s="113"/>
      <c r="H451" s="114"/>
    </row>
    <row r="452" ht="17.25" customHeight="1">
      <c r="A452" s="102"/>
      <c r="B452" s="105" t="b">
        <v>0</v>
      </c>
      <c r="C452" s="107"/>
      <c r="D452" s="108"/>
      <c r="E452" s="108"/>
      <c r="F452" s="108"/>
      <c r="G452" s="113"/>
      <c r="H452" s="114"/>
    </row>
    <row r="453" ht="17.25" customHeight="1">
      <c r="A453" s="102"/>
      <c r="B453" s="105" t="b">
        <v>0</v>
      </c>
      <c r="C453" s="107"/>
      <c r="D453" s="108"/>
      <c r="E453" s="108"/>
      <c r="F453" s="108"/>
      <c r="G453" s="113"/>
      <c r="H453" s="114"/>
    </row>
    <row r="454" ht="17.25" customHeight="1">
      <c r="A454" s="102"/>
      <c r="B454" s="105" t="b">
        <v>0</v>
      </c>
      <c r="C454" s="107"/>
      <c r="D454" s="108"/>
      <c r="E454" s="108"/>
      <c r="F454" s="108"/>
      <c r="G454" s="113"/>
      <c r="H454" s="114"/>
    </row>
    <row r="455" ht="17.25" customHeight="1">
      <c r="A455" s="102"/>
      <c r="B455" s="105" t="b">
        <v>0</v>
      </c>
      <c r="C455" s="107"/>
      <c r="D455" s="108"/>
      <c r="E455" s="108"/>
      <c r="F455" s="108"/>
      <c r="G455" s="113"/>
      <c r="H455" s="114"/>
    </row>
    <row r="456" ht="17.25" customHeight="1">
      <c r="A456" s="102"/>
      <c r="B456" s="105" t="b">
        <v>0</v>
      </c>
      <c r="C456" s="107"/>
      <c r="D456" s="108"/>
      <c r="E456" s="108"/>
      <c r="F456" s="108"/>
      <c r="G456" s="113"/>
      <c r="H456" s="114"/>
    </row>
    <row r="457" ht="17.25" customHeight="1">
      <c r="A457" s="102"/>
      <c r="B457" s="105" t="b">
        <v>0</v>
      </c>
      <c r="C457" s="107"/>
      <c r="D457" s="108"/>
      <c r="E457" s="108"/>
      <c r="F457" s="108"/>
      <c r="G457" s="113"/>
      <c r="H457" s="114"/>
    </row>
    <row r="458" ht="17.25" customHeight="1">
      <c r="A458" s="102"/>
      <c r="B458" s="105" t="b">
        <v>0</v>
      </c>
      <c r="C458" s="107"/>
      <c r="D458" s="108"/>
      <c r="E458" s="108"/>
      <c r="F458" s="108"/>
      <c r="G458" s="113"/>
      <c r="H458" s="114"/>
    </row>
    <row r="459" ht="17.25" customHeight="1">
      <c r="A459" s="102"/>
      <c r="B459" s="105" t="b">
        <v>0</v>
      </c>
      <c r="C459" s="107"/>
      <c r="D459" s="108"/>
      <c r="E459" s="108"/>
      <c r="F459" s="108"/>
      <c r="G459" s="113"/>
      <c r="H459" s="114"/>
    </row>
    <row r="460" ht="17.25" customHeight="1">
      <c r="A460" s="102"/>
      <c r="B460" s="105" t="b">
        <v>0</v>
      </c>
      <c r="C460" s="107"/>
      <c r="D460" s="108"/>
      <c r="E460" s="108"/>
      <c r="F460" s="108"/>
      <c r="G460" s="113"/>
      <c r="H460" s="114"/>
    </row>
    <row r="461" ht="17.25" customHeight="1">
      <c r="A461" s="102"/>
      <c r="B461" s="105" t="b">
        <v>0</v>
      </c>
      <c r="C461" s="107"/>
      <c r="D461" s="108"/>
      <c r="E461" s="108"/>
      <c r="F461" s="108"/>
      <c r="G461" s="113"/>
      <c r="H461" s="114"/>
    </row>
    <row r="462" ht="17.25" customHeight="1">
      <c r="A462" s="102"/>
      <c r="B462" s="105" t="b">
        <v>0</v>
      </c>
      <c r="C462" s="107"/>
      <c r="D462" s="108"/>
      <c r="E462" s="108"/>
      <c r="F462" s="108"/>
      <c r="G462" s="113"/>
      <c r="H462" s="114"/>
    </row>
    <row r="463" ht="17.25" customHeight="1">
      <c r="A463" s="102"/>
      <c r="B463" s="105" t="b">
        <v>0</v>
      </c>
      <c r="C463" s="107"/>
      <c r="D463" s="108"/>
      <c r="E463" s="108"/>
      <c r="F463" s="108"/>
      <c r="G463" s="113"/>
      <c r="H463" s="114"/>
    </row>
    <row r="464" ht="17.25" customHeight="1">
      <c r="A464" s="102"/>
      <c r="B464" s="105" t="b">
        <v>0</v>
      </c>
      <c r="C464" s="107"/>
      <c r="D464" s="108"/>
      <c r="E464" s="108"/>
      <c r="F464" s="108"/>
      <c r="G464" s="113"/>
      <c r="H464" s="114"/>
    </row>
    <row r="465" ht="17.25" customHeight="1">
      <c r="A465" s="102"/>
      <c r="B465" s="105" t="b">
        <v>0</v>
      </c>
      <c r="C465" s="107"/>
      <c r="D465" s="108"/>
      <c r="E465" s="108"/>
      <c r="F465" s="108"/>
      <c r="G465" s="113"/>
      <c r="H465" s="114"/>
    </row>
    <row r="466" ht="17.25" customHeight="1">
      <c r="A466" s="102"/>
      <c r="B466" s="105" t="b">
        <v>0</v>
      </c>
      <c r="C466" s="107"/>
      <c r="D466" s="108"/>
      <c r="E466" s="108"/>
      <c r="F466" s="108"/>
      <c r="G466" s="113"/>
      <c r="H466" s="114"/>
    </row>
    <row r="467" ht="17.25" customHeight="1">
      <c r="A467" s="102"/>
      <c r="B467" s="105" t="b">
        <v>0</v>
      </c>
      <c r="C467" s="107"/>
      <c r="D467" s="108"/>
      <c r="E467" s="108"/>
      <c r="F467" s="108"/>
      <c r="G467" s="113"/>
      <c r="H467" s="114"/>
    </row>
    <row r="468" ht="17.25" customHeight="1">
      <c r="A468" s="102"/>
      <c r="B468" s="105" t="b">
        <v>0</v>
      </c>
      <c r="C468" s="107"/>
      <c r="D468" s="108"/>
      <c r="E468" s="108"/>
      <c r="F468" s="108"/>
      <c r="G468" s="113"/>
      <c r="H468" s="114"/>
    </row>
    <row r="469" ht="17.25" customHeight="1">
      <c r="A469" s="102"/>
      <c r="B469" s="105" t="b">
        <v>0</v>
      </c>
      <c r="C469" s="107"/>
      <c r="D469" s="108"/>
      <c r="E469" s="108"/>
      <c r="F469" s="108"/>
      <c r="G469" s="113"/>
      <c r="H469" s="114"/>
    </row>
    <row r="470" ht="17.25" customHeight="1">
      <c r="A470" s="102"/>
      <c r="B470" s="105" t="b">
        <v>0</v>
      </c>
      <c r="C470" s="107"/>
      <c r="D470" s="108"/>
      <c r="E470" s="108"/>
      <c r="F470" s="108"/>
      <c r="G470" s="113"/>
      <c r="H470" s="114"/>
    </row>
    <row r="471" ht="17.25" customHeight="1">
      <c r="A471" s="102"/>
      <c r="B471" s="105" t="b">
        <v>0</v>
      </c>
      <c r="C471" s="107"/>
      <c r="D471" s="108"/>
      <c r="E471" s="108"/>
      <c r="F471" s="108"/>
      <c r="G471" s="113"/>
      <c r="H471" s="114"/>
    </row>
    <row r="472" ht="17.25" customHeight="1">
      <c r="A472" s="102"/>
      <c r="B472" s="105" t="b">
        <v>0</v>
      </c>
      <c r="C472" s="107"/>
      <c r="D472" s="108"/>
      <c r="E472" s="108"/>
      <c r="F472" s="108"/>
      <c r="G472" s="113"/>
      <c r="H472" s="114"/>
    </row>
    <row r="473" ht="17.25" customHeight="1">
      <c r="A473" s="102"/>
      <c r="B473" s="105" t="b">
        <v>0</v>
      </c>
      <c r="C473" s="107"/>
      <c r="D473" s="108"/>
      <c r="E473" s="108"/>
      <c r="F473" s="108"/>
      <c r="G473" s="113"/>
      <c r="H473" s="114"/>
    </row>
    <row r="474" ht="17.25" customHeight="1">
      <c r="A474" s="102"/>
      <c r="B474" s="105" t="b">
        <v>0</v>
      </c>
      <c r="C474" s="107"/>
      <c r="D474" s="108"/>
      <c r="E474" s="108"/>
      <c r="F474" s="108"/>
      <c r="G474" s="113"/>
      <c r="H474" s="114"/>
    </row>
    <row r="475" ht="17.25" customHeight="1">
      <c r="A475" s="102"/>
      <c r="B475" s="105" t="b">
        <v>0</v>
      </c>
      <c r="C475" s="107"/>
      <c r="D475" s="108"/>
      <c r="E475" s="108"/>
      <c r="F475" s="108"/>
      <c r="G475" s="113"/>
      <c r="H475" s="114"/>
    </row>
    <row r="476" ht="17.25" customHeight="1">
      <c r="A476" s="102"/>
      <c r="B476" s="105" t="b">
        <v>0</v>
      </c>
      <c r="C476" s="107"/>
      <c r="D476" s="108"/>
      <c r="E476" s="108"/>
      <c r="F476" s="108"/>
      <c r="G476" s="113"/>
      <c r="H476" s="114"/>
    </row>
    <row r="477" ht="17.25" customHeight="1">
      <c r="A477" s="102"/>
      <c r="B477" s="105" t="b">
        <v>0</v>
      </c>
      <c r="C477" s="107"/>
      <c r="D477" s="108"/>
      <c r="E477" s="108"/>
      <c r="F477" s="108"/>
      <c r="G477" s="113"/>
      <c r="H477" s="114"/>
    </row>
    <row r="478" ht="17.25" customHeight="1">
      <c r="A478" s="102"/>
      <c r="B478" s="105" t="b">
        <v>0</v>
      </c>
      <c r="C478" s="107"/>
      <c r="D478" s="108"/>
      <c r="E478" s="108"/>
      <c r="F478" s="108"/>
      <c r="G478" s="113"/>
      <c r="H478" s="114"/>
    </row>
    <row r="479" ht="17.25" customHeight="1">
      <c r="A479" s="102"/>
      <c r="B479" s="105" t="b">
        <v>0</v>
      </c>
      <c r="C479" s="107"/>
      <c r="D479" s="108"/>
      <c r="E479" s="108"/>
      <c r="F479" s="108"/>
      <c r="G479" s="113"/>
      <c r="H479" s="114"/>
    </row>
    <row r="480" ht="17.25" customHeight="1">
      <c r="A480" s="102"/>
      <c r="B480" s="105" t="b">
        <v>0</v>
      </c>
      <c r="C480" s="107"/>
      <c r="D480" s="108"/>
      <c r="E480" s="108"/>
      <c r="F480" s="108"/>
      <c r="G480" s="113"/>
      <c r="H480" s="114"/>
    </row>
    <row r="481" ht="17.25" customHeight="1">
      <c r="A481" s="102"/>
      <c r="B481" s="105" t="b">
        <v>0</v>
      </c>
      <c r="C481" s="107"/>
      <c r="D481" s="108"/>
      <c r="E481" s="108"/>
      <c r="F481" s="108"/>
      <c r="G481" s="113"/>
      <c r="H481" s="114"/>
    </row>
    <row r="482" ht="17.25" customHeight="1">
      <c r="A482" s="102"/>
      <c r="B482" s="105" t="b">
        <v>0</v>
      </c>
      <c r="C482" s="107"/>
      <c r="D482" s="108"/>
      <c r="E482" s="108"/>
      <c r="F482" s="108"/>
      <c r="G482" s="113"/>
      <c r="H482" s="114"/>
    </row>
    <row r="483" ht="17.25" customHeight="1">
      <c r="A483" s="102"/>
      <c r="B483" s="105" t="b">
        <v>0</v>
      </c>
      <c r="C483" s="107"/>
      <c r="D483" s="108"/>
      <c r="E483" s="108"/>
      <c r="F483" s="108"/>
      <c r="G483" s="113"/>
      <c r="H483" s="114"/>
    </row>
    <row r="484" ht="17.25" customHeight="1">
      <c r="A484" s="102"/>
      <c r="B484" s="105" t="b">
        <v>0</v>
      </c>
      <c r="C484" s="107"/>
      <c r="D484" s="108"/>
      <c r="E484" s="108"/>
      <c r="F484" s="108"/>
      <c r="G484" s="113"/>
      <c r="H484" s="114"/>
    </row>
    <row r="485" ht="17.25" customHeight="1">
      <c r="A485" s="102"/>
      <c r="B485" s="105" t="b">
        <v>0</v>
      </c>
      <c r="C485" s="107"/>
      <c r="D485" s="108"/>
      <c r="E485" s="108"/>
      <c r="F485" s="108"/>
      <c r="G485" s="113"/>
      <c r="H485" s="114"/>
    </row>
    <row r="486" ht="17.25" customHeight="1">
      <c r="A486" s="102"/>
      <c r="B486" s="105" t="b">
        <v>0</v>
      </c>
      <c r="C486" s="107"/>
      <c r="D486" s="108"/>
      <c r="E486" s="108"/>
      <c r="F486" s="108"/>
      <c r="G486" s="113"/>
      <c r="H486" s="114"/>
    </row>
    <row r="487" ht="17.25" customHeight="1">
      <c r="A487" s="102"/>
      <c r="B487" s="105" t="b">
        <v>0</v>
      </c>
      <c r="C487" s="107"/>
      <c r="D487" s="108"/>
      <c r="E487" s="108"/>
      <c r="F487" s="108"/>
      <c r="G487" s="113"/>
      <c r="H487" s="114"/>
    </row>
    <row r="488" ht="17.25" customHeight="1">
      <c r="A488" s="102"/>
      <c r="B488" s="105" t="b">
        <v>0</v>
      </c>
      <c r="C488" s="107"/>
      <c r="D488" s="108"/>
      <c r="E488" s="108"/>
      <c r="F488" s="108"/>
      <c r="G488" s="113"/>
      <c r="H488" s="114"/>
    </row>
    <row r="489" ht="17.25" customHeight="1">
      <c r="A489" s="102"/>
      <c r="B489" s="105" t="b">
        <v>0</v>
      </c>
      <c r="C489" s="107"/>
      <c r="D489" s="108"/>
      <c r="E489" s="108"/>
      <c r="F489" s="108"/>
      <c r="G489" s="113"/>
      <c r="H489" s="114"/>
    </row>
    <row r="490" ht="17.25" customHeight="1">
      <c r="A490" s="102"/>
      <c r="B490" s="105" t="b">
        <v>0</v>
      </c>
      <c r="C490" s="107"/>
      <c r="D490" s="108"/>
      <c r="E490" s="108"/>
      <c r="F490" s="108"/>
      <c r="G490" s="113"/>
      <c r="H490" s="114"/>
    </row>
    <row r="491" ht="17.25" customHeight="1">
      <c r="A491" s="102"/>
      <c r="B491" s="105" t="b">
        <v>0</v>
      </c>
      <c r="C491" s="107"/>
      <c r="D491" s="108"/>
      <c r="E491" s="108"/>
      <c r="F491" s="108"/>
      <c r="G491" s="113"/>
      <c r="H491" s="114"/>
    </row>
    <row r="492" ht="17.25" customHeight="1">
      <c r="A492" s="102"/>
      <c r="B492" s="105" t="b">
        <v>0</v>
      </c>
      <c r="C492" s="107"/>
      <c r="D492" s="108"/>
      <c r="E492" s="108"/>
      <c r="F492" s="108"/>
      <c r="G492" s="113"/>
      <c r="H492" s="114"/>
    </row>
    <row r="493" ht="17.25" customHeight="1">
      <c r="A493" s="102"/>
      <c r="B493" s="105" t="b">
        <v>0</v>
      </c>
      <c r="C493" s="107"/>
      <c r="D493" s="108"/>
      <c r="E493" s="108"/>
      <c r="F493" s="108"/>
      <c r="G493" s="113"/>
      <c r="H493" s="114"/>
    </row>
    <row r="494" ht="17.25" customHeight="1">
      <c r="A494" s="102"/>
      <c r="B494" s="105" t="b">
        <v>0</v>
      </c>
      <c r="C494" s="107"/>
      <c r="D494" s="108"/>
      <c r="E494" s="108"/>
      <c r="F494" s="108"/>
      <c r="G494" s="113"/>
      <c r="H494" s="114"/>
    </row>
    <row r="495" ht="17.25" customHeight="1">
      <c r="A495" s="102"/>
      <c r="B495" s="105" t="b">
        <v>0</v>
      </c>
      <c r="C495" s="107"/>
      <c r="D495" s="108"/>
      <c r="E495" s="108"/>
      <c r="F495" s="108"/>
      <c r="G495" s="113"/>
      <c r="H495" s="114"/>
    </row>
    <row r="496" ht="17.25" customHeight="1">
      <c r="A496" s="102"/>
      <c r="B496" s="105" t="b">
        <v>0</v>
      </c>
      <c r="C496" s="107"/>
      <c r="D496" s="108"/>
      <c r="E496" s="108"/>
      <c r="F496" s="108"/>
      <c r="G496" s="113"/>
      <c r="H496" s="114"/>
    </row>
    <row r="497" ht="17.25" customHeight="1">
      <c r="A497" s="102"/>
      <c r="B497" s="105" t="b">
        <v>0</v>
      </c>
      <c r="C497" s="107"/>
      <c r="D497" s="108"/>
      <c r="E497" s="108"/>
      <c r="F497" s="108"/>
      <c r="G497" s="113"/>
      <c r="H497" s="114"/>
    </row>
    <row r="498" ht="17.25" customHeight="1">
      <c r="A498" s="102"/>
      <c r="B498" s="105" t="b">
        <v>0</v>
      </c>
      <c r="C498" s="107"/>
      <c r="D498" s="108"/>
      <c r="E498" s="108"/>
      <c r="F498" s="108"/>
      <c r="G498" s="113"/>
      <c r="H498" s="114"/>
    </row>
    <row r="499" ht="17.25" customHeight="1">
      <c r="A499" s="102"/>
      <c r="B499" s="105" t="b">
        <v>0</v>
      </c>
      <c r="C499" s="107"/>
      <c r="D499" s="108"/>
      <c r="E499" s="108"/>
      <c r="F499" s="108"/>
      <c r="G499" s="113"/>
      <c r="H499" s="114"/>
    </row>
    <row r="500" ht="17.25" customHeight="1">
      <c r="A500" s="102"/>
      <c r="B500" s="105" t="b">
        <v>0</v>
      </c>
      <c r="C500" s="107"/>
      <c r="D500" s="108"/>
      <c r="E500" s="108"/>
      <c r="F500" s="108"/>
      <c r="G500" s="113"/>
      <c r="H500" s="114"/>
    </row>
    <row r="501" ht="17.25" customHeight="1">
      <c r="A501" s="102"/>
      <c r="B501" s="105" t="b">
        <v>0</v>
      </c>
      <c r="C501" s="107"/>
      <c r="D501" s="108"/>
      <c r="E501" s="108"/>
      <c r="F501" s="108"/>
      <c r="G501" s="113"/>
      <c r="H501" s="114"/>
    </row>
    <row r="502" ht="17.25" customHeight="1">
      <c r="A502" s="102"/>
      <c r="B502" s="105" t="b">
        <v>0</v>
      </c>
      <c r="C502" s="107"/>
      <c r="D502" s="108"/>
      <c r="E502" s="108"/>
      <c r="F502" s="108"/>
      <c r="G502" s="113"/>
      <c r="H502" s="114"/>
    </row>
    <row r="503" ht="17.25" customHeight="1">
      <c r="A503" s="102"/>
      <c r="B503" s="105" t="b">
        <v>0</v>
      </c>
      <c r="C503" s="107"/>
      <c r="D503" s="108"/>
      <c r="E503" s="108"/>
      <c r="F503" s="108"/>
      <c r="G503" s="113"/>
      <c r="H503" s="114"/>
    </row>
    <row r="504" ht="17.25" customHeight="1">
      <c r="A504" s="102"/>
      <c r="B504" s="105" t="b">
        <v>0</v>
      </c>
      <c r="C504" s="107"/>
      <c r="D504" s="108"/>
      <c r="E504" s="108"/>
      <c r="F504" s="108"/>
      <c r="G504" s="113"/>
      <c r="H504" s="114"/>
    </row>
    <row r="505" ht="17.25" customHeight="1">
      <c r="A505" s="102"/>
      <c r="B505" s="105" t="b">
        <v>0</v>
      </c>
      <c r="C505" s="107"/>
      <c r="D505" s="108"/>
      <c r="E505" s="108"/>
      <c r="F505" s="108"/>
      <c r="G505" s="113"/>
      <c r="H505" s="114"/>
    </row>
    <row r="506" ht="17.25" customHeight="1">
      <c r="A506" s="102"/>
      <c r="B506" s="105" t="b">
        <v>0</v>
      </c>
      <c r="C506" s="107"/>
      <c r="D506" s="108"/>
      <c r="E506" s="108"/>
      <c r="F506" s="108"/>
      <c r="G506" s="113"/>
      <c r="H506" s="114"/>
    </row>
    <row r="507" ht="17.25" customHeight="1">
      <c r="A507" s="102"/>
      <c r="B507" s="105" t="b">
        <v>0</v>
      </c>
      <c r="C507" s="107"/>
      <c r="D507" s="108"/>
      <c r="E507" s="108"/>
      <c r="F507" s="108"/>
      <c r="G507" s="113"/>
      <c r="H507" s="114"/>
    </row>
    <row r="508" ht="17.25" customHeight="1">
      <c r="A508" s="102"/>
      <c r="B508" s="105" t="b">
        <v>0</v>
      </c>
      <c r="C508" s="107"/>
      <c r="D508" s="108"/>
      <c r="E508" s="108"/>
      <c r="F508" s="108"/>
      <c r="G508" s="113"/>
      <c r="H508" s="114"/>
    </row>
    <row r="509" ht="17.25" customHeight="1">
      <c r="A509" s="102"/>
      <c r="B509" s="105" t="b">
        <v>0</v>
      </c>
      <c r="C509" s="107"/>
      <c r="D509" s="108"/>
      <c r="E509" s="108"/>
      <c r="F509" s="108"/>
      <c r="G509" s="113"/>
      <c r="H509" s="114"/>
    </row>
    <row r="510" ht="17.25" customHeight="1">
      <c r="A510" s="102"/>
      <c r="B510" s="105" t="b">
        <v>0</v>
      </c>
      <c r="C510" s="107"/>
      <c r="D510" s="108"/>
      <c r="E510" s="108"/>
      <c r="F510" s="108"/>
      <c r="G510" s="113"/>
      <c r="H510" s="114"/>
    </row>
    <row r="511" ht="17.25" customHeight="1">
      <c r="A511" s="102"/>
      <c r="B511" s="105" t="b">
        <v>0</v>
      </c>
      <c r="C511" s="107"/>
      <c r="D511" s="108"/>
      <c r="E511" s="108"/>
      <c r="F511" s="108"/>
      <c r="G511" s="113"/>
      <c r="H511" s="114"/>
    </row>
    <row r="512" ht="17.25" customHeight="1">
      <c r="A512" s="102"/>
      <c r="B512" s="105" t="b">
        <v>0</v>
      </c>
      <c r="C512" s="107"/>
      <c r="D512" s="108"/>
      <c r="E512" s="108"/>
      <c r="F512" s="108"/>
      <c r="G512" s="113"/>
      <c r="H512" s="114"/>
    </row>
    <row r="513" ht="17.25" customHeight="1">
      <c r="A513" s="102"/>
      <c r="B513" s="105" t="b">
        <v>0</v>
      </c>
      <c r="C513" s="107"/>
      <c r="D513" s="108"/>
      <c r="E513" s="108"/>
      <c r="F513" s="108"/>
      <c r="G513" s="113"/>
      <c r="H513" s="114"/>
    </row>
    <row r="514" ht="17.25" customHeight="1">
      <c r="A514" s="102"/>
      <c r="B514" s="105" t="b">
        <v>0</v>
      </c>
      <c r="C514" s="107"/>
      <c r="D514" s="108"/>
      <c r="E514" s="108"/>
      <c r="F514" s="108"/>
      <c r="G514" s="113"/>
      <c r="H514" s="114"/>
    </row>
    <row r="515" ht="17.25" customHeight="1">
      <c r="A515" s="102"/>
      <c r="B515" s="105" t="b">
        <v>0</v>
      </c>
      <c r="C515" s="107"/>
      <c r="D515" s="108"/>
      <c r="E515" s="108"/>
      <c r="F515" s="108"/>
      <c r="G515" s="113"/>
      <c r="H515" s="114"/>
    </row>
    <row r="516" ht="17.25" customHeight="1">
      <c r="A516" s="102"/>
      <c r="B516" s="105" t="b">
        <v>0</v>
      </c>
      <c r="C516" s="107"/>
      <c r="D516" s="108"/>
      <c r="E516" s="108"/>
      <c r="F516" s="108"/>
      <c r="G516" s="113"/>
      <c r="H516" s="114"/>
    </row>
    <row r="517" ht="17.25" customHeight="1">
      <c r="A517" s="102"/>
      <c r="B517" s="105" t="b">
        <v>0</v>
      </c>
      <c r="C517" s="107"/>
      <c r="D517" s="108"/>
      <c r="E517" s="108"/>
      <c r="F517" s="108"/>
      <c r="G517" s="113"/>
      <c r="H517" s="114"/>
    </row>
    <row r="518" ht="17.25" customHeight="1">
      <c r="A518" s="102"/>
      <c r="B518" s="105" t="b">
        <v>0</v>
      </c>
      <c r="C518" s="107"/>
      <c r="D518" s="108"/>
      <c r="E518" s="108"/>
      <c r="F518" s="108"/>
      <c r="G518" s="113"/>
      <c r="H518" s="114"/>
    </row>
    <row r="519" ht="17.25" customHeight="1">
      <c r="A519" s="102"/>
      <c r="B519" s="105" t="b">
        <v>0</v>
      </c>
      <c r="C519" s="107"/>
      <c r="D519" s="108"/>
      <c r="E519" s="110"/>
      <c r="F519" s="108"/>
      <c r="G519" s="113"/>
      <c r="H519" s="114"/>
    </row>
    <row r="520" ht="17.25" customHeight="1">
      <c r="A520" s="102"/>
      <c r="B520" s="105" t="b">
        <v>0</v>
      </c>
      <c r="C520" s="107"/>
      <c r="D520" s="108"/>
      <c r="E520" s="110"/>
      <c r="F520" s="108"/>
      <c r="G520" s="113"/>
      <c r="H520" s="114"/>
    </row>
    <row r="521" ht="17.25" customHeight="1">
      <c r="A521" s="102"/>
      <c r="B521" s="105" t="b">
        <v>0</v>
      </c>
      <c r="C521" s="107"/>
      <c r="D521" s="108"/>
      <c r="E521" s="110"/>
      <c r="F521" s="108"/>
      <c r="G521" s="113"/>
      <c r="H521" s="114"/>
    </row>
    <row r="522" ht="17.25" customHeight="1">
      <c r="A522" s="102"/>
      <c r="B522" s="105" t="b">
        <v>0</v>
      </c>
      <c r="C522" s="107"/>
      <c r="D522" s="108"/>
      <c r="E522" s="110"/>
      <c r="F522" s="108"/>
      <c r="G522" s="113"/>
      <c r="H522" s="114"/>
    </row>
    <row r="523" ht="17.25" customHeight="1">
      <c r="A523" s="102"/>
      <c r="B523" s="105" t="b">
        <v>0</v>
      </c>
      <c r="C523" s="107"/>
      <c r="D523" s="108"/>
      <c r="E523" s="110"/>
      <c r="F523" s="108"/>
      <c r="G523" s="113"/>
      <c r="H523" s="114"/>
    </row>
    <row r="524" ht="17.25" customHeight="1">
      <c r="A524" s="102"/>
      <c r="B524" s="105" t="b">
        <v>0</v>
      </c>
      <c r="C524" s="107"/>
      <c r="D524" s="108"/>
      <c r="E524" s="110"/>
      <c r="F524" s="108"/>
      <c r="G524" s="113"/>
      <c r="H524" s="114"/>
    </row>
    <row r="525" ht="17.25" customHeight="1">
      <c r="A525" s="102"/>
      <c r="B525" s="105" t="b">
        <v>0</v>
      </c>
      <c r="C525" s="107"/>
      <c r="D525" s="108"/>
      <c r="E525" s="110"/>
      <c r="F525" s="108"/>
      <c r="G525" s="113"/>
      <c r="H525" s="114"/>
    </row>
    <row r="526" ht="17.25" customHeight="1">
      <c r="A526" s="102"/>
      <c r="B526" s="105" t="b">
        <v>0</v>
      </c>
      <c r="C526" s="107"/>
      <c r="D526" s="108"/>
      <c r="E526" s="110"/>
      <c r="F526" s="108"/>
      <c r="G526" s="113"/>
      <c r="H526" s="114"/>
    </row>
    <row r="527" ht="17.25" customHeight="1">
      <c r="A527" s="102"/>
      <c r="B527" s="105" t="b">
        <v>0</v>
      </c>
      <c r="C527" s="107"/>
      <c r="D527" s="108"/>
      <c r="E527" s="110"/>
      <c r="F527" s="108"/>
      <c r="G527" s="113"/>
      <c r="H527" s="114"/>
    </row>
    <row r="528" ht="17.25" customHeight="1">
      <c r="A528" s="102"/>
      <c r="B528" s="105" t="b">
        <v>0</v>
      </c>
      <c r="C528" s="107"/>
      <c r="D528" s="108"/>
      <c r="E528" s="110"/>
      <c r="F528" s="108"/>
      <c r="G528" s="113"/>
      <c r="H528" s="114"/>
    </row>
    <row r="529" ht="17.25" customHeight="1">
      <c r="A529" s="102"/>
      <c r="B529" s="105" t="b">
        <v>0</v>
      </c>
      <c r="C529" s="107"/>
      <c r="D529" s="108"/>
      <c r="E529" s="110"/>
      <c r="F529" s="108"/>
      <c r="G529" s="113"/>
      <c r="H529" s="114"/>
    </row>
    <row r="530" ht="17.25" customHeight="1">
      <c r="A530" s="102"/>
      <c r="B530" s="105" t="b">
        <v>0</v>
      </c>
      <c r="C530" s="107"/>
      <c r="D530" s="108"/>
      <c r="E530" s="110"/>
      <c r="F530" s="108"/>
      <c r="G530" s="113"/>
      <c r="H530" s="114"/>
    </row>
    <row r="531" ht="17.25" customHeight="1">
      <c r="A531" s="102"/>
      <c r="B531" s="105" t="b">
        <v>0</v>
      </c>
      <c r="C531" s="107"/>
      <c r="D531" s="108"/>
      <c r="E531" s="110"/>
      <c r="F531" s="108"/>
      <c r="G531" s="113"/>
      <c r="H531" s="114"/>
    </row>
    <row r="532" ht="17.25" customHeight="1">
      <c r="A532" s="102"/>
      <c r="B532" s="105" t="b">
        <v>0</v>
      </c>
      <c r="C532" s="107"/>
      <c r="D532" s="108"/>
      <c r="E532" s="110"/>
      <c r="F532" s="108"/>
      <c r="G532" s="113"/>
      <c r="H532" s="114"/>
    </row>
    <row r="533" ht="17.25" customHeight="1">
      <c r="A533" s="102"/>
      <c r="B533" s="105" t="b">
        <v>0</v>
      </c>
      <c r="C533" s="107"/>
      <c r="D533" s="108"/>
      <c r="E533" s="110"/>
      <c r="F533" s="108"/>
      <c r="G533" s="113"/>
      <c r="H533" s="114"/>
    </row>
    <row r="534" ht="17.25" customHeight="1">
      <c r="A534" s="102"/>
      <c r="B534" s="105" t="b">
        <v>0</v>
      </c>
      <c r="C534" s="107"/>
      <c r="D534" s="108"/>
      <c r="E534" s="110"/>
      <c r="F534" s="108"/>
      <c r="G534" s="113"/>
      <c r="H534" s="114"/>
    </row>
    <row r="535" ht="17.25" customHeight="1">
      <c r="A535" s="102"/>
      <c r="B535" s="105" t="b">
        <v>0</v>
      </c>
      <c r="C535" s="107"/>
      <c r="D535" s="108"/>
      <c r="E535" s="110"/>
      <c r="F535" s="108"/>
      <c r="G535" s="113"/>
      <c r="H535" s="114"/>
    </row>
    <row r="536" ht="17.25" customHeight="1">
      <c r="A536" s="102"/>
      <c r="B536" s="105" t="b">
        <v>0</v>
      </c>
      <c r="C536" s="107"/>
      <c r="D536" s="108"/>
      <c r="E536" s="110"/>
      <c r="F536" s="108"/>
      <c r="G536" s="113"/>
      <c r="H536" s="114"/>
    </row>
    <row r="537" ht="17.25" customHeight="1">
      <c r="A537" s="102"/>
      <c r="B537" s="105" t="b">
        <v>0</v>
      </c>
      <c r="C537" s="107"/>
      <c r="D537" s="108"/>
      <c r="E537" s="110"/>
      <c r="F537" s="108"/>
      <c r="G537" s="113"/>
      <c r="H537" s="114"/>
    </row>
    <row r="538" ht="17.25" customHeight="1">
      <c r="A538" s="102"/>
      <c r="B538" s="105" t="b">
        <v>0</v>
      </c>
      <c r="C538" s="107"/>
      <c r="D538" s="108"/>
      <c r="E538" s="110"/>
      <c r="F538" s="108"/>
      <c r="G538" s="113"/>
      <c r="H538" s="114"/>
    </row>
    <row r="539" ht="17.25" customHeight="1">
      <c r="A539" s="102"/>
      <c r="B539" s="105" t="b">
        <v>0</v>
      </c>
      <c r="C539" s="107"/>
      <c r="D539" s="108"/>
      <c r="E539" s="110"/>
      <c r="F539" s="108"/>
      <c r="G539" s="113"/>
      <c r="H539" s="114"/>
    </row>
    <row r="540" ht="17.25" customHeight="1">
      <c r="A540" s="102"/>
      <c r="B540" s="105" t="b">
        <v>0</v>
      </c>
      <c r="C540" s="107"/>
      <c r="D540" s="108"/>
      <c r="E540" s="110"/>
      <c r="F540" s="108"/>
      <c r="G540" s="113"/>
      <c r="H540" s="114"/>
    </row>
    <row r="541" ht="17.25" customHeight="1">
      <c r="A541" s="102"/>
      <c r="B541" s="105" t="b">
        <v>0</v>
      </c>
      <c r="C541" s="107"/>
      <c r="D541" s="108"/>
      <c r="E541" s="110"/>
      <c r="F541" s="108"/>
      <c r="G541" s="113"/>
      <c r="H541" s="114"/>
    </row>
    <row r="542" ht="17.25" customHeight="1">
      <c r="A542" s="102"/>
      <c r="B542" s="105" t="b">
        <v>0</v>
      </c>
      <c r="C542" s="107"/>
      <c r="D542" s="108"/>
      <c r="E542" s="110"/>
      <c r="F542" s="108"/>
      <c r="G542" s="113"/>
      <c r="H542" s="114"/>
    </row>
    <row r="543" ht="17.25" customHeight="1">
      <c r="A543" s="102"/>
      <c r="B543" s="105" t="b">
        <v>0</v>
      </c>
      <c r="C543" s="107"/>
      <c r="D543" s="108"/>
      <c r="E543" s="110"/>
      <c r="F543" s="108"/>
      <c r="G543" s="113"/>
      <c r="H543" s="114"/>
    </row>
    <row r="544" ht="17.25" customHeight="1">
      <c r="A544" s="102"/>
      <c r="B544" s="105" t="b">
        <v>0</v>
      </c>
      <c r="C544" s="107"/>
      <c r="D544" s="108"/>
      <c r="E544" s="110"/>
      <c r="F544" s="108"/>
      <c r="G544" s="113"/>
      <c r="H544" s="114"/>
    </row>
    <row r="545" ht="17.25" customHeight="1">
      <c r="A545" s="102"/>
      <c r="B545" s="105" t="b">
        <v>0</v>
      </c>
      <c r="C545" s="107"/>
      <c r="D545" s="108"/>
      <c r="E545" s="110"/>
      <c r="F545" s="108"/>
      <c r="G545" s="113"/>
      <c r="H545" s="114"/>
    </row>
    <row r="546" ht="17.25" customHeight="1">
      <c r="A546" s="102"/>
      <c r="B546" s="105" t="b">
        <v>0</v>
      </c>
      <c r="C546" s="107"/>
      <c r="D546" s="108"/>
      <c r="E546" s="110"/>
      <c r="F546" s="108"/>
      <c r="G546" s="113"/>
      <c r="H546" s="114"/>
    </row>
    <row r="547" ht="17.25" customHeight="1">
      <c r="A547" s="102"/>
      <c r="B547" s="105" t="b">
        <v>0</v>
      </c>
      <c r="C547" s="107"/>
      <c r="D547" s="108"/>
      <c r="E547" s="110"/>
      <c r="F547" s="108"/>
      <c r="G547" s="113"/>
      <c r="H547" s="114"/>
    </row>
    <row r="548" ht="17.25" customHeight="1">
      <c r="A548" s="102"/>
      <c r="B548" s="105" t="b">
        <v>0</v>
      </c>
      <c r="C548" s="107"/>
      <c r="D548" s="108"/>
      <c r="E548" s="110"/>
      <c r="F548" s="108"/>
      <c r="G548" s="113"/>
      <c r="H548" s="114"/>
    </row>
    <row r="549" ht="17.25" customHeight="1">
      <c r="A549" s="102"/>
      <c r="B549" s="105" t="b">
        <v>0</v>
      </c>
      <c r="C549" s="107"/>
      <c r="D549" s="108"/>
      <c r="E549" s="108"/>
      <c r="F549" s="108"/>
      <c r="G549" s="113"/>
      <c r="H549" s="114"/>
    </row>
    <row r="550" ht="17.25" customHeight="1">
      <c r="A550" s="102"/>
      <c r="B550" s="105" t="b">
        <v>0</v>
      </c>
      <c r="C550" s="107"/>
      <c r="D550" s="108"/>
      <c r="E550" s="108"/>
      <c r="F550" s="108"/>
      <c r="G550" s="113"/>
      <c r="H550" s="114"/>
    </row>
    <row r="551" ht="17.25" customHeight="1">
      <c r="A551" s="102"/>
      <c r="B551" s="105" t="b">
        <v>0</v>
      </c>
      <c r="C551" s="107"/>
      <c r="D551" s="108"/>
      <c r="E551" s="108"/>
      <c r="F551" s="108"/>
      <c r="G551" s="113"/>
      <c r="H551" s="114"/>
    </row>
    <row r="552" ht="17.25" customHeight="1">
      <c r="A552" s="102"/>
      <c r="B552" s="105" t="b">
        <v>0</v>
      </c>
      <c r="C552" s="107"/>
      <c r="D552" s="108"/>
      <c r="E552" s="108"/>
      <c r="F552" s="108"/>
      <c r="G552" s="113"/>
      <c r="H552" s="114"/>
    </row>
    <row r="553" ht="17.25" customHeight="1">
      <c r="A553" s="102"/>
      <c r="B553" s="105" t="b">
        <v>0</v>
      </c>
      <c r="C553" s="107"/>
      <c r="D553" s="108"/>
      <c r="E553" s="108"/>
      <c r="F553" s="108"/>
      <c r="G553" s="113"/>
      <c r="H553" s="114"/>
    </row>
    <row r="554" ht="17.25" customHeight="1">
      <c r="A554" s="102"/>
      <c r="B554" s="105" t="b">
        <v>0</v>
      </c>
      <c r="C554" s="107"/>
      <c r="D554" s="108"/>
      <c r="E554" s="108"/>
      <c r="F554" s="108"/>
      <c r="G554" s="113"/>
      <c r="H554" s="114"/>
    </row>
    <row r="555" ht="17.25" customHeight="1">
      <c r="A555" s="102"/>
      <c r="B555" s="105" t="b">
        <v>0</v>
      </c>
      <c r="C555" s="107"/>
      <c r="D555" s="108"/>
      <c r="E555" s="108"/>
      <c r="F555" s="108"/>
      <c r="G555" s="113"/>
      <c r="H555" s="114"/>
    </row>
    <row r="556" ht="17.25" customHeight="1">
      <c r="A556" s="102"/>
      <c r="B556" s="105" t="b">
        <v>0</v>
      </c>
      <c r="C556" s="107"/>
      <c r="D556" s="108"/>
      <c r="E556" s="108"/>
      <c r="F556" s="108"/>
      <c r="G556" s="113"/>
      <c r="H556" s="114"/>
    </row>
    <row r="557" ht="17.25" customHeight="1">
      <c r="A557" s="102"/>
      <c r="B557" s="105" t="b">
        <v>0</v>
      </c>
      <c r="C557" s="107"/>
      <c r="D557" s="108"/>
      <c r="E557" s="108"/>
      <c r="F557" s="108"/>
      <c r="G557" s="113"/>
      <c r="H557" s="114"/>
    </row>
    <row r="558" ht="17.25" customHeight="1">
      <c r="A558" s="102"/>
      <c r="B558" s="105" t="b">
        <v>0</v>
      </c>
      <c r="C558" s="107"/>
      <c r="D558" s="108"/>
      <c r="E558" s="108"/>
      <c r="F558" s="108"/>
      <c r="G558" s="113"/>
      <c r="H558" s="114"/>
    </row>
    <row r="559" ht="17.25" customHeight="1">
      <c r="A559" s="102"/>
      <c r="B559" s="105" t="b">
        <v>0</v>
      </c>
      <c r="C559" s="107"/>
      <c r="D559" s="108"/>
      <c r="E559" s="108"/>
      <c r="F559" s="108"/>
      <c r="G559" s="113"/>
      <c r="H559" s="114"/>
    </row>
    <row r="560" ht="17.25" customHeight="1">
      <c r="A560" s="102"/>
      <c r="B560" s="105" t="b">
        <v>0</v>
      </c>
      <c r="C560" s="107"/>
      <c r="D560" s="108"/>
      <c r="E560" s="108"/>
      <c r="F560" s="108"/>
      <c r="G560" s="113"/>
      <c r="H560" s="114"/>
    </row>
    <row r="561" ht="17.25" customHeight="1">
      <c r="A561" s="102"/>
      <c r="B561" s="105" t="b">
        <v>0</v>
      </c>
      <c r="C561" s="107"/>
      <c r="D561" s="108"/>
      <c r="E561" s="108"/>
      <c r="F561" s="108"/>
      <c r="G561" s="113"/>
      <c r="H561" s="114"/>
    </row>
    <row r="562" ht="17.25" customHeight="1">
      <c r="A562" s="102"/>
      <c r="B562" s="105" t="b">
        <v>0</v>
      </c>
      <c r="C562" s="107"/>
      <c r="D562" s="108"/>
      <c r="E562" s="108"/>
      <c r="F562" s="108"/>
      <c r="G562" s="113"/>
      <c r="H562" s="114"/>
    </row>
    <row r="563" ht="17.25" customHeight="1">
      <c r="A563" s="102"/>
      <c r="B563" s="105" t="b">
        <v>0</v>
      </c>
      <c r="C563" s="107"/>
      <c r="D563" s="108"/>
      <c r="E563" s="108"/>
      <c r="F563" s="108"/>
      <c r="G563" s="113"/>
      <c r="H563" s="114"/>
    </row>
    <row r="564" ht="17.25" customHeight="1">
      <c r="A564" s="102"/>
      <c r="B564" s="105" t="b">
        <v>0</v>
      </c>
      <c r="C564" s="107"/>
      <c r="D564" s="108"/>
      <c r="E564" s="108"/>
      <c r="F564" s="108"/>
      <c r="G564" s="113"/>
      <c r="H564" s="114"/>
    </row>
    <row r="565" ht="17.25" customHeight="1">
      <c r="A565" s="102"/>
      <c r="B565" s="105" t="b">
        <v>0</v>
      </c>
      <c r="C565" s="107"/>
      <c r="D565" s="108"/>
      <c r="E565" s="108"/>
      <c r="F565" s="108"/>
      <c r="G565" s="113"/>
      <c r="H565" s="114"/>
    </row>
    <row r="566" ht="17.25" customHeight="1">
      <c r="A566" s="102"/>
      <c r="B566" s="105" t="b">
        <v>0</v>
      </c>
      <c r="C566" s="107"/>
      <c r="D566" s="108"/>
      <c r="E566" s="108"/>
      <c r="F566" s="108"/>
      <c r="G566" s="113"/>
      <c r="H566" s="114"/>
    </row>
    <row r="567" ht="17.25" customHeight="1">
      <c r="A567" s="102"/>
      <c r="B567" s="105" t="b">
        <v>0</v>
      </c>
      <c r="C567" s="107"/>
      <c r="D567" s="108"/>
      <c r="E567" s="108"/>
      <c r="F567" s="108"/>
      <c r="G567" s="113"/>
      <c r="H567" s="114"/>
    </row>
    <row r="568" ht="17.25" customHeight="1">
      <c r="A568" s="102"/>
      <c r="B568" s="105" t="b">
        <v>0</v>
      </c>
      <c r="C568" s="107"/>
      <c r="D568" s="108"/>
      <c r="E568" s="108"/>
      <c r="F568" s="108"/>
      <c r="G568" s="113"/>
      <c r="H568" s="114"/>
    </row>
    <row r="569" ht="17.25" customHeight="1">
      <c r="A569" s="102"/>
      <c r="B569" s="105" t="b">
        <v>0</v>
      </c>
      <c r="C569" s="107"/>
      <c r="D569" s="108"/>
      <c r="E569" s="108"/>
      <c r="F569" s="108"/>
      <c r="G569" s="113"/>
      <c r="H569" s="114"/>
    </row>
    <row r="570" ht="17.25" customHeight="1">
      <c r="A570" s="102"/>
      <c r="B570" s="105" t="b">
        <v>0</v>
      </c>
      <c r="C570" s="107"/>
      <c r="D570" s="108"/>
      <c r="E570" s="108"/>
      <c r="F570" s="108"/>
      <c r="G570" s="113"/>
      <c r="H570" s="114"/>
    </row>
    <row r="571" ht="17.25" customHeight="1">
      <c r="A571" s="102"/>
      <c r="B571" s="105" t="b">
        <v>0</v>
      </c>
      <c r="C571" s="107"/>
      <c r="D571" s="108"/>
      <c r="E571" s="108"/>
      <c r="F571" s="108"/>
      <c r="G571" s="113"/>
      <c r="H571" s="114"/>
    </row>
    <row r="572" ht="17.25" customHeight="1">
      <c r="A572" s="102"/>
      <c r="B572" s="105" t="b">
        <v>0</v>
      </c>
      <c r="C572" s="107"/>
      <c r="D572" s="108"/>
      <c r="E572" s="108"/>
      <c r="F572" s="108"/>
      <c r="G572" s="113"/>
      <c r="H572" s="114"/>
    </row>
    <row r="573" ht="17.25" customHeight="1">
      <c r="A573" s="102"/>
      <c r="B573" s="105" t="b">
        <v>0</v>
      </c>
      <c r="C573" s="107"/>
      <c r="D573" s="108"/>
      <c r="E573" s="108"/>
      <c r="F573" s="108"/>
      <c r="G573" s="113"/>
      <c r="H573" s="114"/>
    </row>
    <row r="574" ht="17.25" customHeight="1">
      <c r="A574" s="102"/>
      <c r="B574" s="105" t="b">
        <v>0</v>
      </c>
      <c r="C574" s="107"/>
      <c r="D574" s="108"/>
      <c r="E574" s="108"/>
      <c r="F574" s="108"/>
      <c r="G574" s="113"/>
      <c r="H574" s="114"/>
    </row>
    <row r="575" ht="17.25" customHeight="1">
      <c r="A575" s="102"/>
      <c r="B575" s="105" t="b">
        <v>0</v>
      </c>
      <c r="C575" s="107"/>
      <c r="D575" s="108"/>
      <c r="E575" s="108"/>
      <c r="F575" s="108"/>
      <c r="G575" s="113"/>
      <c r="H575" s="114"/>
    </row>
    <row r="576" ht="17.25" customHeight="1">
      <c r="A576" s="102"/>
      <c r="B576" s="105" t="b">
        <v>0</v>
      </c>
      <c r="C576" s="107"/>
      <c r="D576" s="108"/>
      <c r="E576" s="108"/>
      <c r="F576" s="108"/>
      <c r="G576" s="113"/>
      <c r="H576" s="114"/>
    </row>
    <row r="577" ht="17.25" customHeight="1">
      <c r="A577" s="102"/>
      <c r="B577" s="105" t="b">
        <v>0</v>
      </c>
      <c r="C577" s="107"/>
      <c r="D577" s="108"/>
      <c r="E577" s="108"/>
      <c r="F577" s="108"/>
      <c r="G577" s="113"/>
      <c r="H577" s="114"/>
    </row>
    <row r="578" ht="17.25" customHeight="1">
      <c r="A578" s="102"/>
      <c r="B578" s="105" t="b">
        <v>0</v>
      </c>
      <c r="C578" s="107"/>
      <c r="D578" s="108"/>
      <c r="E578" s="108"/>
      <c r="F578" s="108"/>
      <c r="G578" s="113"/>
      <c r="H578" s="114"/>
    </row>
    <row r="579" ht="17.25" customHeight="1">
      <c r="A579" s="102"/>
      <c r="B579" s="105" t="b">
        <v>0</v>
      </c>
      <c r="C579" s="107"/>
      <c r="D579" s="108"/>
      <c r="E579" s="108"/>
      <c r="F579" s="108"/>
      <c r="G579" s="113"/>
      <c r="H579" s="114"/>
    </row>
    <row r="580" ht="17.25" customHeight="1">
      <c r="A580" s="102"/>
      <c r="B580" s="105" t="b">
        <v>0</v>
      </c>
      <c r="C580" s="107"/>
      <c r="D580" s="108"/>
      <c r="E580" s="108"/>
      <c r="F580" s="108"/>
      <c r="G580" s="113"/>
      <c r="H580" s="114"/>
    </row>
    <row r="581" ht="17.25" customHeight="1">
      <c r="A581" s="102"/>
      <c r="B581" s="105" t="b">
        <v>0</v>
      </c>
      <c r="C581" s="107"/>
      <c r="D581" s="108"/>
      <c r="E581" s="108"/>
      <c r="F581" s="108"/>
      <c r="G581" s="113"/>
      <c r="H581" s="114"/>
    </row>
    <row r="582" ht="17.25" customHeight="1">
      <c r="A582" s="102"/>
      <c r="B582" s="105" t="b">
        <v>0</v>
      </c>
      <c r="C582" s="107"/>
      <c r="D582" s="108"/>
      <c r="E582" s="108"/>
      <c r="F582" s="108"/>
      <c r="G582" s="113"/>
      <c r="H582" s="114"/>
    </row>
    <row r="583" ht="17.25" customHeight="1">
      <c r="A583" s="102"/>
      <c r="B583" s="105" t="b">
        <v>0</v>
      </c>
      <c r="C583" s="107"/>
      <c r="D583" s="108"/>
      <c r="E583" s="108"/>
      <c r="F583" s="108"/>
      <c r="G583" s="113"/>
      <c r="H583" s="114"/>
    </row>
    <row r="584" ht="17.25" customHeight="1">
      <c r="A584" s="102"/>
      <c r="B584" s="105" t="b">
        <v>0</v>
      </c>
      <c r="C584" s="107"/>
      <c r="D584" s="108"/>
      <c r="E584" s="108"/>
      <c r="F584" s="108"/>
      <c r="G584" s="113"/>
      <c r="H584" s="114"/>
    </row>
    <row r="585" ht="17.25" customHeight="1">
      <c r="A585" s="102"/>
      <c r="B585" s="105" t="b">
        <v>0</v>
      </c>
      <c r="C585" s="107"/>
      <c r="D585" s="108"/>
      <c r="E585" s="108"/>
      <c r="F585" s="108"/>
      <c r="G585" s="113"/>
      <c r="H585" s="114"/>
    </row>
    <row r="586" ht="17.25" customHeight="1">
      <c r="A586" s="102"/>
      <c r="B586" s="105" t="b">
        <v>0</v>
      </c>
      <c r="C586" s="107"/>
      <c r="D586" s="108"/>
      <c r="E586" s="108"/>
      <c r="F586" s="108"/>
      <c r="G586" s="113"/>
      <c r="H586" s="114"/>
    </row>
    <row r="587" ht="17.25" customHeight="1">
      <c r="A587" s="102"/>
      <c r="B587" s="105" t="b">
        <v>0</v>
      </c>
      <c r="C587" s="107"/>
      <c r="D587" s="108"/>
      <c r="E587" s="108"/>
      <c r="F587" s="108"/>
      <c r="G587" s="113"/>
      <c r="H587" s="114"/>
    </row>
    <row r="588" ht="17.25" customHeight="1">
      <c r="A588" s="102"/>
      <c r="B588" s="105" t="b">
        <v>0</v>
      </c>
      <c r="C588" s="107"/>
      <c r="D588" s="108"/>
      <c r="E588" s="108"/>
      <c r="F588" s="108"/>
      <c r="G588" s="113"/>
      <c r="H588" s="114"/>
    </row>
    <row r="589" ht="17.25" customHeight="1">
      <c r="A589" s="102"/>
      <c r="B589" s="105" t="b">
        <v>0</v>
      </c>
      <c r="C589" s="107"/>
      <c r="D589" s="108"/>
      <c r="E589" s="108"/>
      <c r="F589" s="108"/>
      <c r="G589" s="113"/>
      <c r="H589" s="114"/>
    </row>
    <row r="590" ht="17.25" customHeight="1">
      <c r="A590" s="102"/>
      <c r="B590" s="105" t="b">
        <v>0</v>
      </c>
      <c r="C590" s="107"/>
      <c r="D590" s="108"/>
      <c r="E590" s="108"/>
      <c r="F590" s="108"/>
      <c r="G590" s="113"/>
      <c r="H590" s="114"/>
    </row>
    <row r="591" ht="17.25" customHeight="1">
      <c r="A591" s="102"/>
      <c r="B591" s="105" t="b">
        <v>0</v>
      </c>
      <c r="C591" s="107"/>
      <c r="D591" s="108"/>
      <c r="E591" s="108"/>
      <c r="F591" s="108"/>
      <c r="G591" s="113"/>
      <c r="H591" s="114"/>
    </row>
    <row r="592" ht="17.25" customHeight="1">
      <c r="A592" s="102"/>
      <c r="B592" s="105" t="b">
        <v>0</v>
      </c>
      <c r="C592" s="107"/>
      <c r="D592" s="108"/>
      <c r="E592" s="108"/>
      <c r="F592" s="108"/>
      <c r="G592" s="113"/>
      <c r="H592" s="114"/>
    </row>
    <row r="593" ht="17.25" customHeight="1">
      <c r="A593" s="102"/>
      <c r="B593" s="105" t="b">
        <v>0</v>
      </c>
      <c r="C593" s="107"/>
      <c r="D593" s="108"/>
      <c r="E593" s="108"/>
      <c r="F593" s="108"/>
      <c r="G593" s="113"/>
      <c r="H593" s="114"/>
    </row>
    <row r="594" ht="17.25" customHeight="1">
      <c r="A594" s="102"/>
      <c r="B594" s="105" t="b">
        <v>0</v>
      </c>
      <c r="C594" s="107"/>
      <c r="D594" s="108"/>
      <c r="E594" s="108"/>
      <c r="F594" s="108"/>
      <c r="G594" s="113"/>
      <c r="H594" s="114"/>
    </row>
    <row r="595" ht="17.25" customHeight="1">
      <c r="A595" s="102"/>
      <c r="B595" s="105" t="b">
        <v>0</v>
      </c>
      <c r="C595" s="107"/>
      <c r="D595" s="108"/>
      <c r="E595" s="108"/>
      <c r="F595" s="108"/>
      <c r="G595" s="113"/>
      <c r="H595" s="114"/>
    </row>
    <row r="596" ht="17.25" customHeight="1">
      <c r="A596" s="102"/>
      <c r="B596" s="105" t="b">
        <v>0</v>
      </c>
      <c r="C596" s="107"/>
      <c r="D596" s="108"/>
      <c r="E596" s="108"/>
      <c r="F596" s="108"/>
      <c r="G596" s="113"/>
      <c r="H596" s="114"/>
    </row>
    <row r="597" ht="17.25" customHeight="1">
      <c r="A597" s="102"/>
      <c r="B597" s="105" t="b">
        <v>0</v>
      </c>
      <c r="C597" s="107"/>
      <c r="D597" s="108"/>
      <c r="E597" s="108"/>
      <c r="F597" s="108"/>
      <c r="G597" s="113"/>
      <c r="H597" s="114"/>
    </row>
    <row r="598" ht="17.25" customHeight="1">
      <c r="A598" s="102"/>
      <c r="B598" s="105" t="b">
        <v>0</v>
      </c>
      <c r="C598" s="107"/>
      <c r="D598" s="108"/>
      <c r="E598" s="108"/>
      <c r="F598" s="108"/>
      <c r="G598" s="113"/>
      <c r="H598" s="114"/>
    </row>
    <row r="599" ht="17.25" customHeight="1">
      <c r="A599" s="102"/>
      <c r="B599" s="105" t="b">
        <v>0</v>
      </c>
      <c r="C599" s="107"/>
      <c r="D599" s="108"/>
      <c r="E599" s="108"/>
      <c r="F599" s="108"/>
      <c r="G599" s="113"/>
      <c r="H599" s="114"/>
    </row>
    <row r="600" ht="17.25" customHeight="1">
      <c r="A600" s="102"/>
      <c r="B600" s="105" t="b">
        <v>0</v>
      </c>
      <c r="C600" s="107"/>
      <c r="D600" s="108"/>
      <c r="E600" s="108"/>
      <c r="F600" s="108"/>
      <c r="G600" s="113"/>
      <c r="H600" s="114"/>
    </row>
    <row r="601" ht="17.25" customHeight="1">
      <c r="A601" s="102"/>
      <c r="B601" s="105" t="b">
        <v>0</v>
      </c>
      <c r="C601" s="107"/>
      <c r="D601" s="108"/>
      <c r="E601" s="108"/>
      <c r="F601" s="108"/>
      <c r="G601" s="113"/>
      <c r="H601" s="114"/>
    </row>
    <row r="602" ht="17.25" customHeight="1">
      <c r="A602" s="102"/>
      <c r="B602" s="105" t="b">
        <v>0</v>
      </c>
      <c r="C602" s="107"/>
      <c r="D602" s="108"/>
      <c r="E602" s="108"/>
      <c r="F602" s="108"/>
      <c r="G602" s="113"/>
      <c r="H602" s="114"/>
    </row>
    <row r="603" ht="17.25" customHeight="1">
      <c r="A603" s="102"/>
      <c r="B603" s="105" t="b">
        <v>0</v>
      </c>
      <c r="C603" s="107"/>
      <c r="D603" s="108"/>
      <c r="E603" s="108"/>
      <c r="F603" s="108"/>
      <c r="G603" s="113"/>
      <c r="H603" s="114"/>
    </row>
    <row r="604" ht="17.25" customHeight="1">
      <c r="A604" s="102"/>
      <c r="B604" s="105" t="b">
        <v>0</v>
      </c>
      <c r="C604" s="107"/>
      <c r="D604" s="108"/>
      <c r="E604" s="108"/>
      <c r="F604" s="108"/>
      <c r="G604" s="113"/>
      <c r="H604" s="114"/>
    </row>
    <row r="605" ht="17.25" customHeight="1">
      <c r="A605" s="102"/>
      <c r="B605" s="105" t="b">
        <v>0</v>
      </c>
      <c r="C605" s="107"/>
      <c r="D605" s="108"/>
      <c r="E605" s="108"/>
      <c r="F605" s="108"/>
      <c r="G605" s="113"/>
      <c r="H605" s="114"/>
    </row>
    <row r="606" ht="17.25" customHeight="1">
      <c r="A606" s="102"/>
      <c r="B606" s="105" t="b">
        <v>0</v>
      </c>
      <c r="C606" s="107"/>
      <c r="D606" s="108"/>
      <c r="E606" s="108"/>
      <c r="F606" s="108"/>
      <c r="G606" s="113"/>
      <c r="H606" s="114"/>
    </row>
    <row r="607" ht="17.25" customHeight="1">
      <c r="A607" s="102"/>
      <c r="B607" s="105" t="b">
        <v>0</v>
      </c>
      <c r="C607" s="107"/>
      <c r="D607" s="108"/>
      <c r="E607" s="108"/>
      <c r="F607" s="108"/>
      <c r="G607" s="113"/>
      <c r="H607" s="114"/>
    </row>
    <row r="608" ht="17.25" customHeight="1">
      <c r="A608" s="102"/>
      <c r="B608" s="105" t="b">
        <v>0</v>
      </c>
      <c r="C608" s="107"/>
      <c r="D608" s="108"/>
      <c r="E608" s="108"/>
      <c r="F608" s="108"/>
      <c r="G608" s="113"/>
      <c r="H608" s="114"/>
    </row>
    <row r="609" ht="17.25" customHeight="1">
      <c r="A609" s="102"/>
      <c r="B609" s="105" t="b">
        <v>0</v>
      </c>
      <c r="C609" s="107"/>
      <c r="D609" s="108"/>
      <c r="E609" s="108"/>
      <c r="F609" s="108"/>
      <c r="G609" s="113"/>
      <c r="H609" s="114"/>
    </row>
    <row r="610" ht="17.25" customHeight="1">
      <c r="A610" s="102"/>
      <c r="B610" s="105" t="b">
        <v>0</v>
      </c>
      <c r="C610" s="107"/>
      <c r="D610" s="108"/>
      <c r="E610" s="108"/>
      <c r="F610" s="108"/>
      <c r="G610" s="113"/>
      <c r="H610" s="114"/>
    </row>
    <row r="611" ht="17.25" customHeight="1">
      <c r="A611" s="102"/>
      <c r="B611" s="105" t="b">
        <v>0</v>
      </c>
      <c r="C611" s="107"/>
      <c r="D611" s="108"/>
      <c r="E611" s="108"/>
      <c r="F611" s="108"/>
      <c r="G611" s="113"/>
      <c r="H611" s="114"/>
    </row>
    <row r="612" ht="17.25" customHeight="1">
      <c r="A612" s="102"/>
      <c r="B612" s="105" t="b">
        <v>0</v>
      </c>
      <c r="C612" s="107"/>
      <c r="D612" s="108"/>
      <c r="E612" s="108"/>
      <c r="F612" s="108"/>
      <c r="G612" s="113"/>
      <c r="H612" s="114"/>
    </row>
    <row r="613" ht="17.25" customHeight="1">
      <c r="A613" s="102"/>
      <c r="B613" s="105" t="b">
        <v>0</v>
      </c>
      <c r="C613" s="107"/>
      <c r="D613" s="108"/>
      <c r="E613" s="108"/>
      <c r="F613" s="108"/>
      <c r="G613" s="113"/>
      <c r="H613" s="114"/>
    </row>
    <row r="614" ht="17.25" customHeight="1">
      <c r="A614" s="102"/>
      <c r="B614" s="105" t="b">
        <v>0</v>
      </c>
      <c r="C614" s="107"/>
      <c r="D614" s="108"/>
      <c r="E614" s="108"/>
      <c r="F614" s="108"/>
      <c r="G614" s="113"/>
      <c r="H614" s="114"/>
    </row>
    <row r="615" ht="17.25" customHeight="1">
      <c r="A615" s="102"/>
      <c r="B615" s="105" t="b">
        <v>0</v>
      </c>
      <c r="C615" s="107"/>
      <c r="D615" s="108"/>
      <c r="E615" s="108"/>
      <c r="F615" s="108"/>
      <c r="G615" s="113"/>
      <c r="H615" s="114"/>
    </row>
    <row r="616" ht="17.25" customHeight="1">
      <c r="A616" s="102"/>
      <c r="B616" s="105" t="b">
        <v>0</v>
      </c>
      <c r="C616" s="107"/>
      <c r="D616" s="108"/>
      <c r="E616" s="108"/>
      <c r="F616" s="108"/>
      <c r="G616" s="113"/>
      <c r="H616" s="114"/>
    </row>
    <row r="617" ht="17.25" customHeight="1">
      <c r="A617" s="102"/>
      <c r="B617" s="105" t="b">
        <v>0</v>
      </c>
      <c r="C617" s="107"/>
      <c r="D617" s="108"/>
      <c r="E617" s="108"/>
      <c r="F617" s="108"/>
      <c r="G617" s="113"/>
      <c r="H617" s="114"/>
    </row>
    <row r="618" ht="17.25" customHeight="1">
      <c r="A618" s="102"/>
      <c r="B618" s="105" t="b">
        <v>0</v>
      </c>
      <c r="C618" s="107"/>
      <c r="D618" s="108"/>
      <c r="E618" s="108"/>
      <c r="F618" s="108"/>
      <c r="G618" s="113"/>
      <c r="H618" s="114"/>
    </row>
    <row r="619" ht="17.25" customHeight="1">
      <c r="A619" s="102"/>
      <c r="B619" s="105" t="b">
        <v>0</v>
      </c>
      <c r="C619" s="107"/>
      <c r="D619" s="108"/>
      <c r="E619" s="108"/>
      <c r="F619" s="108"/>
      <c r="G619" s="113"/>
      <c r="H619" s="114"/>
    </row>
    <row r="620" ht="17.25" customHeight="1">
      <c r="A620" s="102"/>
      <c r="B620" s="105" t="b">
        <v>0</v>
      </c>
      <c r="C620" s="107"/>
      <c r="D620" s="108"/>
      <c r="E620" s="108"/>
      <c r="F620" s="108"/>
      <c r="G620" s="113"/>
      <c r="H620" s="114"/>
    </row>
    <row r="621" ht="17.25" customHeight="1">
      <c r="A621" s="102"/>
      <c r="B621" s="105" t="b">
        <v>0</v>
      </c>
      <c r="C621" s="107"/>
      <c r="D621" s="108"/>
      <c r="E621" s="108"/>
      <c r="F621" s="108"/>
      <c r="G621" s="113"/>
      <c r="H621" s="114"/>
    </row>
    <row r="622" ht="17.25" customHeight="1">
      <c r="A622" s="102"/>
      <c r="B622" s="105" t="b">
        <v>0</v>
      </c>
      <c r="C622" s="107"/>
      <c r="D622" s="108"/>
      <c r="E622" s="108"/>
      <c r="F622" s="108"/>
      <c r="G622" s="113"/>
      <c r="H622" s="114"/>
    </row>
    <row r="623" ht="17.25" customHeight="1">
      <c r="A623" s="102"/>
      <c r="B623" s="105" t="b">
        <v>0</v>
      </c>
      <c r="C623" s="107"/>
      <c r="D623" s="108"/>
      <c r="E623" s="108"/>
      <c r="F623" s="108"/>
      <c r="G623" s="113"/>
      <c r="H623" s="114"/>
    </row>
    <row r="624" ht="17.25" customHeight="1">
      <c r="A624" s="102"/>
      <c r="B624" s="105" t="b">
        <v>0</v>
      </c>
      <c r="C624" s="107"/>
      <c r="D624" s="108"/>
      <c r="E624" s="108"/>
      <c r="F624" s="108"/>
      <c r="G624" s="113"/>
      <c r="H624" s="114"/>
    </row>
    <row r="625" ht="17.25" customHeight="1">
      <c r="A625" s="102"/>
      <c r="B625" s="105" t="b">
        <v>0</v>
      </c>
      <c r="C625" s="107"/>
      <c r="D625" s="108"/>
      <c r="E625" s="108"/>
      <c r="F625" s="108"/>
      <c r="G625" s="113"/>
      <c r="H625" s="114"/>
    </row>
    <row r="626" ht="17.25" customHeight="1">
      <c r="A626" s="102"/>
      <c r="B626" s="105" t="b">
        <v>0</v>
      </c>
      <c r="C626" s="107"/>
      <c r="D626" s="108"/>
      <c r="E626" s="108"/>
      <c r="F626" s="108"/>
      <c r="G626" s="113"/>
      <c r="H626" s="114"/>
    </row>
    <row r="627" ht="17.25" customHeight="1">
      <c r="A627" s="102"/>
      <c r="B627" s="105" t="b">
        <v>0</v>
      </c>
      <c r="C627" s="107"/>
      <c r="D627" s="108"/>
      <c r="E627" s="108"/>
      <c r="F627" s="108"/>
      <c r="G627" s="113"/>
      <c r="H627" s="114"/>
    </row>
    <row r="628" ht="17.25" customHeight="1">
      <c r="A628" s="102"/>
      <c r="B628" s="105" t="b">
        <v>0</v>
      </c>
      <c r="C628" s="107"/>
      <c r="D628" s="108"/>
      <c r="E628" s="108"/>
      <c r="F628" s="108"/>
      <c r="G628" s="113"/>
      <c r="H628" s="114"/>
    </row>
    <row r="629" ht="17.25" customHeight="1">
      <c r="A629" s="102"/>
      <c r="B629" s="105" t="b">
        <v>0</v>
      </c>
      <c r="C629" s="107"/>
      <c r="D629" s="108"/>
      <c r="E629" s="108"/>
      <c r="F629" s="108"/>
      <c r="G629" s="113"/>
      <c r="H629" s="114"/>
    </row>
    <row r="630" ht="17.25" customHeight="1">
      <c r="A630" s="102"/>
      <c r="B630" s="105" t="b">
        <v>0</v>
      </c>
      <c r="C630" s="107"/>
      <c r="D630" s="108"/>
      <c r="E630" s="108"/>
      <c r="F630" s="108"/>
      <c r="G630" s="113"/>
      <c r="H630" s="114"/>
    </row>
    <row r="631" ht="17.25" customHeight="1">
      <c r="A631" s="102"/>
      <c r="B631" s="105" t="b">
        <v>0</v>
      </c>
      <c r="C631" s="107"/>
      <c r="D631" s="108"/>
      <c r="E631" s="108"/>
      <c r="F631" s="108"/>
      <c r="G631" s="113"/>
      <c r="H631" s="114"/>
    </row>
    <row r="632" ht="17.25" customHeight="1">
      <c r="A632" s="102"/>
      <c r="B632" s="105" t="b">
        <v>0</v>
      </c>
      <c r="C632" s="107"/>
      <c r="D632" s="108"/>
      <c r="E632" s="108"/>
      <c r="F632" s="108"/>
      <c r="G632" s="113"/>
      <c r="H632" s="114"/>
    </row>
    <row r="633" ht="17.25" customHeight="1">
      <c r="A633" s="102"/>
      <c r="B633" s="105" t="b">
        <v>0</v>
      </c>
      <c r="C633" s="107"/>
      <c r="D633" s="108"/>
      <c r="E633" s="108"/>
      <c r="F633" s="108"/>
      <c r="G633" s="113"/>
      <c r="H633" s="114"/>
    </row>
    <row r="634" ht="17.25" customHeight="1">
      <c r="A634" s="102"/>
      <c r="B634" s="105" t="b">
        <v>0</v>
      </c>
      <c r="C634" s="107"/>
      <c r="D634" s="108"/>
      <c r="E634" s="108"/>
      <c r="F634" s="108"/>
      <c r="G634" s="113"/>
      <c r="H634" s="114"/>
    </row>
    <row r="635" ht="17.25" customHeight="1">
      <c r="A635" s="102"/>
      <c r="B635" s="105" t="b">
        <v>0</v>
      </c>
      <c r="C635" s="107"/>
      <c r="D635" s="108"/>
      <c r="E635" s="108"/>
      <c r="F635" s="108"/>
      <c r="G635" s="113"/>
      <c r="H635" s="114"/>
    </row>
    <row r="636" ht="17.25" customHeight="1">
      <c r="A636" s="102"/>
      <c r="B636" s="105" t="b">
        <v>0</v>
      </c>
      <c r="C636" s="107"/>
      <c r="D636" s="108"/>
      <c r="E636" s="108"/>
      <c r="F636" s="108"/>
      <c r="G636" s="113"/>
      <c r="H636" s="114"/>
    </row>
    <row r="637" ht="17.25" customHeight="1">
      <c r="A637" s="102"/>
      <c r="B637" s="105" t="b">
        <v>0</v>
      </c>
      <c r="C637" s="107"/>
      <c r="D637" s="108"/>
      <c r="E637" s="108"/>
      <c r="F637" s="108"/>
      <c r="G637" s="113"/>
      <c r="H637" s="114"/>
    </row>
    <row r="638" ht="17.25" customHeight="1">
      <c r="A638" s="102"/>
      <c r="B638" s="105" t="b">
        <v>0</v>
      </c>
      <c r="C638" s="107"/>
      <c r="D638" s="108"/>
      <c r="E638" s="108"/>
      <c r="F638" s="108"/>
      <c r="G638" s="113"/>
      <c r="H638" s="114"/>
    </row>
    <row r="639" ht="17.25" customHeight="1">
      <c r="A639" s="102"/>
      <c r="B639" s="105" t="b">
        <v>0</v>
      </c>
      <c r="C639" s="107"/>
      <c r="D639" s="108"/>
      <c r="E639" s="108"/>
      <c r="F639" s="108"/>
      <c r="G639" s="113"/>
      <c r="H639" s="114"/>
    </row>
    <row r="640" ht="17.25" customHeight="1">
      <c r="A640" s="102"/>
      <c r="B640" s="105" t="b">
        <v>0</v>
      </c>
      <c r="C640" s="107"/>
      <c r="D640" s="108"/>
      <c r="E640" s="108"/>
      <c r="F640" s="108"/>
      <c r="G640" s="113"/>
      <c r="H640" s="114"/>
    </row>
    <row r="641" ht="17.25" customHeight="1">
      <c r="A641" s="102"/>
      <c r="B641" s="105" t="b">
        <v>0</v>
      </c>
      <c r="C641" s="107"/>
      <c r="D641" s="108"/>
      <c r="E641" s="108"/>
      <c r="F641" s="108"/>
      <c r="G641" s="113"/>
      <c r="H641" s="114"/>
    </row>
    <row r="642" ht="17.25" customHeight="1">
      <c r="A642" s="102"/>
      <c r="B642" s="105" t="b">
        <v>0</v>
      </c>
      <c r="C642" s="107"/>
      <c r="D642" s="108"/>
      <c r="E642" s="108"/>
      <c r="F642" s="108"/>
      <c r="G642" s="113"/>
      <c r="H642" s="114"/>
    </row>
    <row r="643" ht="17.25" customHeight="1">
      <c r="A643" s="102"/>
      <c r="B643" s="105" t="b">
        <v>0</v>
      </c>
      <c r="C643" s="107"/>
      <c r="D643" s="108"/>
      <c r="E643" s="108"/>
      <c r="F643" s="108"/>
      <c r="G643" s="113"/>
      <c r="H643" s="114"/>
    </row>
    <row r="644" ht="17.25" customHeight="1">
      <c r="A644" s="102"/>
      <c r="B644" s="105" t="b">
        <v>0</v>
      </c>
      <c r="C644" s="107"/>
      <c r="D644" s="108"/>
      <c r="E644" s="108"/>
      <c r="F644" s="108"/>
      <c r="G644" s="113"/>
      <c r="H644" s="114"/>
    </row>
    <row r="645" ht="17.25" customHeight="1">
      <c r="A645" s="102"/>
      <c r="B645" s="105" t="b">
        <v>0</v>
      </c>
      <c r="C645" s="107"/>
      <c r="D645" s="108"/>
      <c r="E645" s="108"/>
      <c r="F645" s="108"/>
      <c r="G645" s="113"/>
      <c r="H645" s="114"/>
    </row>
    <row r="646" ht="17.25" customHeight="1">
      <c r="A646" s="102"/>
      <c r="B646" s="105" t="b">
        <v>0</v>
      </c>
      <c r="C646" s="107"/>
      <c r="D646" s="108"/>
      <c r="E646" s="108"/>
      <c r="F646" s="108"/>
      <c r="G646" s="113"/>
      <c r="H646" s="114"/>
    </row>
    <row r="647" ht="17.25" customHeight="1">
      <c r="A647" s="102"/>
      <c r="B647" s="105" t="b">
        <v>0</v>
      </c>
      <c r="C647" s="107"/>
      <c r="D647" s="108"/>
      <c r="E647" s="108"/>
      <c r="F647" s="108"/>
      <c r="G647" s="113"/>
      <c r="H647" s="114"/>
    </row>
    <row r="648" ht="17.25" customHeight="1">
      <c r="A648" s="102"/>
      <c r="B648" s="105" t="b">
        <v>0</v>
      </c>
      <c r="C648" s="107"/>
      <c r="D648" s="108"/>
      <c r="E648" s="108"/>
      <c r="F648" s="108"/>
      <c r="G648" s="113"/>
      <c r="H648" s="114"/>
    </row>
    <row r="649" ht="17.25" customHeight="1">
      <c r="A649" s="102"/>
      <c r="B649" s="105" t="b">
        <v>0</v>
      </c>
      <c r="C649" s="107"/>
      <c r="D649" s="108"/>
      <c r="E649" s="108"/>
      <c r="F649" s="108"/>
      <c r="G649" s="113"/>
      <c r="H649" s="114"/>
    </row>
    <row r="650" ht="17.25" customHeight="1">
      <c r="A650" s="102"/>
      <c r="B650" s="105" t="b">
        <v>0</v>
      </c>
      <c r="C650" s="107"/>
      <c r="D650" s="108"/>
      <c r="E650" s="108"/>
      <c r="F650" s="108"/>
      <c r="G650" s="113"/>
      <c r="H650" s="114"/>
    </row>
    <row r="651" ht="17.25" customHeight="1">
      <c r="A651" s="102"/>
      <c r="B651" s="105" t="b">
        <v>0</v>
      </c>
      <c r="C651" s="107"/>
      <c r="D651" s="108"/>
      <c r="E651" s="108"/>
      <c r="F651" s="108"/>
      <c r="G651" s="113"/>
      <c r="H651" s="114"/>
    </row>
    <row r="652" ht="17.25" customHeight="1">
      <c r="A652" s="102"/>
      <c r="B652" s="105" t="b">
        <v>0</v>
      </c>
      <c r="C652" s="107"/>
      <c r="D652" s="108"/>
      <c r="E652" s="108"/>
      <c r="F652" s="108"/>
      <c r="G652" s="113"/>
      <c r="H652" s="114"/>
    </row>
    <row r="653" ht="17.25" customHeight="1">
      <c r="A653" s="102"/>
      <c r="B653" s="105" t="b">
        <v>0</v>
      </c>
      <c r="C653" s="107"/>
      <c r="D653" s="108"/>
      <c r="E653" s="108"/>
      <c r="F653" s="108"/>
      <c r="G653" s="113"/>
      <c r="H653" s="114"/>
    </row>
    <row r="654" ht="17.25" customHeight="1">
      <c r="A654" s="102"/>
      <c r="B654" s="105" t="b">
        <v>0</v>
      </c>
      <c r="C654" s="107"/>
      <c r="D654" s="108"/>
      <c r="E654" s="108"/>
      <c r="F654" s="108"/>
      <c r="G654" s="113"/>
      <c r="H654" s="114"/>
    </row>
    <row r="655" ht="17.25" customHeight="1">
      <c r="A655" s="102"/>
      <c r="B655" s="105" t="b">
        <v>0</v>
      </c>
      <c r="C655" s="107"/>
      <c r="D655" s="108"/>
      <c r="E655" s="108"/>
      <c r="F655" s="108"/>
      <c r="G655" s="113"/>
      <c r="H655" s="114"/>
    </row>
    <row r="656" ht="17.25" customHeight="1">
      <c r="A656" s="102"/>
      <c r="B656" s="105" t="b">
        <v>0</v>
      </c>
      <c r="C656" s="107"/>
      <c r="D656" s="108"/>
      <c r="E656" s="108"/>
      <c r="F656" s="108"/>
      <c r="G656" s="113"/>
      <c r="H656" s="114"/>
    </row>
    <row r="657" ht="17.25" customHeight="1">
      <c r="A657" s="102"/>
      <c r="B657" s="105" t="b">
        <v>0</v>
      </c>
      <c r="C657" s="107"/>
      <c r="D657" s="108"/>
      <c r="E657" s="108"/>
      <c r="F657" s="108"/>
      <c r="G657" s="113"/>
      <c r="H657" s="114"/>
    </row>
    <row r="658" ht="17.25" customHeight="1">
      <c r="A658" s="102"/>
      <c r="B658" s="105" t="b">
        <v>0</v>
      </c>
      <c r="C658" s="107"/>
      <c r="D658" s="108"/>
      <c r="E658" s="108"/>
      <c r="F658" s="108"/>
      <c r="G658" s="113"/>
      <c r="H658" s="114"/>
    </row>
    <row r="659" ht="17.25" customHeight="1">
      <c r="A659" s="102"/>
      <c r="B659" s="105" t="b">
        <v>0</v>
      </c>
      <c r="C659" s="107"/>
      <c r="D659" s="108"/>
      <c r="E659" s="108"/>
      <c r="F659" s="108"/>
      <c r="G659" s="113"/>
      <c r="H659" s="114"/>
    </row>
    <row r="660" ht="17.25" customHeight="1">
      <c r="A660" s="102"/>
      <c r="B660" s="105" t="b">
        <v>0</v>
      </c>
      <c r="C660" s="107"/>
      <c r="D660" s="108"/>
      <c r="E660" s="108"/>
      <c r="F660" s="108"/>
      <c r="G660" s="113"/>
      <c r="H660" s="114"/>
    </row>
    <row r="661" ht="17.25" customHeight="1">
      <c r="A661" s="102"/>
      <c r="B661" s="105" t="b">
        <v>0</v>
      </c>
      <c r="C661" s="107"/>
      <c r="D661" s="108"/>
      <c r="E661" s="108"/>
      <c r="F661" s="108"/>
      <c r="G661" s="113"/>
      <c r="H661" s="114"/>
    </row>
    <row r="662" ht="17.25" customHeight="1">
      <c r="A662" s="102"/>
      <c r="B662" s="105" t="b">
        <v>0</v>
      </c>
      <c r="C662" s="107"/>
      <c r="D662" s="108"/>
      <c r="E662" s="108"/>
      <c r="F662" s="108"/>
      <c r="G662" s="113"/>
      <c r="H662" s="114"/>
    </row>
    <row r="663" ht="17.25" customHeight="1">
      <c r="A663" s="102"/>
      <c r="B663" s="105" t="b">
        <v>0</v>
      </c>
      <c r="C663" s="107"/>
      <c r="D663" s="108"/>
      <c r="E663" s="108"/>
      <c r="F663" s="108"/>
      <c r="G663" s="113"/>
      <c r="H663" s="114"/>
    </row>
    <row r="664" ht="17.25" customHeight="1">
      <c r="A664" s="102"/>
      <c r="B664" s="105" t="b">
        <v>0</v>
      </c>
      <c r="C664" s="107"/>
      <c r="D664" s="108"/>
      <c r="E664" s="108"/>
      <c r="F664" s="108"/>
      <c r="G664" s="113"/>
      <c r="H664" s="114"/>
    </row>
    <row r="665" ht="17.25" customHeight="1">
      <c r="A665" s="102"/>
      <c r="B665" s="105" t="b">
        <v>0</v>
      </c>
      <c r="C665" s="107"/>
      <c r="D665" s="108"/>
      <c r="E665" s="108"/>
      <c r="F665" s="108"/>
      <c r="G665" s="113"/>
      <c r="H665" s="114"/>
    </row>
    <row r="666" ht="17.25" customHeight="1">
      <c r="A666" s="102"/>
      <c r="B666" s="105" t="b">
        <v>0</v>
      </c>
      <c r="C666" s="107"/>
      <c r="D666" s="108"/>
      <c r="E666" s="108"/>
      <c r="F666" s="108"/>
      <c r="G666" s="113"/>
      <c r="H666" s="114"/>
    </row>
    <row r="667" ht="17.25" customHeight="1">
      <c r="A667" s="102"/>
      <c r="B667" s="105" t="b">
        <v>0</v>
      </c>
      <c r="C667" s="107"/>
      <c r="D667" s="108"/>
      <c r="E667" s="108"/>
      <c r="F667" s="108"/>
      <c r="G667" s="113"/>
      <c r="H667" s="114"/>
    </row>
    <row r="668" ht="17.25" customHeight="1">
      <c r="A668" s="102"/>
      <c r="B668" s="105" t="b">
        <v>0</v>
      </c>
      <c r="C668" s="107"/>
      <c r="D668" s="108"/>
      <c r="E668" s="108"/>
      <c r="F668" s="108"/>
      <c r="G668" s="113"/>
      <c r="H668" s="114"/>
    </row>
    <row r="669" ht="17.25" customHeight="1">
      <c r="A669" s="102"/>
      <c r="B669" s="105" t="b">
        <v>0</v>
      </c>
      <c r="C669" s="107"/>
      <c r="D669" s="108"/>
      <c r="E669" s="108"/>
      <c r="F669" s="108"/>
      <c r="G669" s="113"/>
      <c r="H669" s="114"/>
    </row>
    <row r="670" ht="17.25" customHeight="1">
      <c r="A670" s="102"/>
      <c r="B670" s="105" t="b">
        <v>0</v>
      </c>
      <c r="C670" s="107"/>
      <c r="D670" s="108"/>
      <c r="E670" s="108"/>
      <c r="F670" s="108"/>
      <c r="G670" s="113"/>
      <c r="H670" s="114"/>
    </row>
    <row r="671" ht="17.25" customHeight="1">
      <c r="A671" s="102"/>
      <c r="B671" s="105" t="b">
        <v>0</v>
      </c>
      <c r="C671" s="107"/>
      <c r="D671" s="108"/>
      <c r="E671" s="108"/>
      <c r="F671" s="108"/>
      <c r="G671" s="113"/>
      <c r="H671" s="114"/>
    </row>
    <row r="672" ht="17.25" customHeight="1">
      <c r="A672" s="102"/>
      <c r="B672" s="105" t="b">
        <v>0</v>
      </c>
      <c r="C672" s="107"/>
      <c r="D672" s="108"/>
      <c r="E672" s="108"/>
      <c r="F672" s="108"/>
      <c r="G672" s="113"/>
      <c r="H672" s="114"/>
    </row>
    <row r="673" ht="17.25" customHeight="1">
      <c r="A673" s="102"/>
      <c r="B673" s="105" t="b">
        <v>0</v>
      </c>
      <c r="C673" s="107"/>
      <c r="D673" s="108"/>
      <c r="E673" s="108"/>
      <c r="F673" s="108"/>
      <c r="G673" s="113"/>
      <c r="H673" s="114"/>
    </row>
    <row r="674" ht="17.25" customHeight="1">
      <c r="A674" s="102"/>
      <c r="B674" s="105" t="b">
        <v>0</v>
      </c>
      <c r="C674" s="107"/>
      <c r="D674" s="108"/>
      <c r="E674" s="108"/>
      <c r="F674" s="108"/>
      <c r="G674" s="113"/>
      <c r="H674" s="114"/>
    </row>
    <row r="675" ht="17.25" customHeight="1">
      <c r="A675" s="102"/>
      <c r="B675" s="105" t="b">
        <v>0</v>
      </c>
      <c r="C675" s="107"/>
      <c r="D675" s="108"/>
      <c r="E675" s="108"/>
      <c r="F675" s="108"/>
      <c r="G675" s="113"/>
      <c r="H675" s="114"/>
    </row>
    <row r="676" ht="17.25" customHeight="1">
      <c r="A676" s="102"/>
      <c r="B676" s="105" t="b">
        <v>0</v>
      </c>
      <c r="C676" s="107"/>
      <c r="D676" s="108"/>
      <c r="E676" s="108"/>
      <c r="F676" s="108"/>
      <c r="G676" s="113"/>
      <c r="H676" s="114"/>
    </row>
    <row r="677" ht="17.25" customHeight="1">
      <c r="A677" s="102"/>
      <c r="B677" s="105" t="b">
        <v>0</v>
      </c>
      <c r="C677" s="107"/>
      <c r="D677" s="108"/>
      <c r="E677" s="108"/>
      <c r="F677" s="108"/>
      <c r="G677" s="113"/>
      <c r="H677" s="114"/>
    </row>
    <row r="678" ht="17.25" customHeight="1">
      <c r="A678" s="102"/>
      <c r="B678" s="105" t="b">
        <v>0</v>
      </c>
      <c r="C678" s="107"/>
      <c r="D678" s="108"/>
      <c r="E678" s="108"/>
      <c r="F678" s="108"/>
      <c r="G678" s="113"/>
      <c r="H678" s="114"/>
    </row>
    <row r="679" ht="17.25" customHeight="1">
      <c r="A679" s="102"/>
      <c r="B679" s="105" t="b">
        <v>0</v>
      </c>
      <c r="C679" s="107"/>
      <c r="D679" s="108"/>
      <c r="E679" s="108"/>
      <c r="F679" s="108"/>
      <c r="G679" s="113"/>
      <c r="H679" s="114"/>
    </row>
    <row r="680" ht="17.25" customHeight="1">
      <c r="A680" s="102"/>
      <c r="B680" s="105" t="b">
        <v>0</v>
      </c>
      <c r="C680" s="107"/>
      <c r="D680" s="108"/>
      <c r="E680" s="108"/>
      <c r="F680" s="108"/>
      <c r="G680" s="113"/>
      <c r="H680" s="114"/>
    </row>
    <row r="681" ht="17.25" customHeight="1">
      <c r="A681" s="102"/>
      <c r="B681" s="105" t="b">
        <v>0</v>
      </c>
      <c r="C681" s="107"/>
      <c r="D681" s="108"/>
      <c r="E681" s="108"/>
      <c r="F681" s="108"/>
      <c r="G681" s="113"/>
      <c r="H681" s="114"/>
    </row>
    <row r="682" ht="17.25" customHeight="1">
      <c r="A682" s="102"/>
      <c r="B682" s="105" t="b">
        <v>0</v>
      </c>
      <c r="C682" s="107"/>
      <c r="D682" s="108"/>
      <c r="E682" s="108"/>
      <c r="F682" s="108"/>
      <c r="G682" s="113"/>
      <c r="H682" s="114"/>
    </row>
    <row r="683" ht="17.25" customHeight="1">
      <c r="A683" s="102"/>
      <c r="B683" s="105" t="b">
        <v>0</v>
      </c>
      <c r="C683" s="107"/>
      <c r="D683" s="108"/>
      <c r="E683" s="108"/>
      <c r="F683" s="108"/>
      <c r="G683" s="113"/>
      <c r="H683" s="114"/>
    </row>
    <row r="684" ht="17.25" customHeight="1">
      <c r="A684" s="102"/>
      <c r="B684" s="105" t="b">
        <v>0</v>
      </c>
      <c r="C684" s="107"/>
      <c r="D684" s="108"/>
      <c r="E684" s="108"/>
      <c r="F684" s="108"/>
      <c r="G684" s="113"/>
      <c r="H684" s="114"/>
    </row>
    <row r="685" ht="17.25" customHeight="1">
      <c r="A685" s="102"/>
      <c r="B685" s="105" t="b">
        <v>0</v>
      </c>
      <c r="C685" s="107"/>
      <c r="D685" s="108"/>
      <c r="E685" s="108"/>
      <c r="F685" s="108"/>
      <c r="G685" s="113"/>
      <c r="H685" s="114"/>
    </row>
    <row r="686" ht="17.25" customHeight="1">
      <c r="A686" s="102"/>
      <c r="B686" s="105" t="b">
        <v>0</v>
      </c>
      <c r="C686" s="107"/>
      <c r="D686" s="108"/>
      <c r="E686" s="108"/>
      <c r="F686" s="108"/>
      <c r="G686" s="113"/>
      <c r="H686" s="114"/>
    </row>
    <row r="687" ht="17.25" customHeight="1">
      <c r="A687" s="102"/>
      <c r="B687" s="105" t="b">
        <v>0</v>
      </c>
      <c r="C687" s="107"/>
      <c r="D687" s="108"/>
      <c r="E687" s="108"/>
      <c r="F687" s="108"/>
      <c r="G687" s="113"/>
      <c r="H687" s="114"/>
    </row>
    <row r="688" ht="17.25" customHeight="1">
      <c r="A688" s="102"/>
      <c r="B688" s="105" t="b">
        <v>0</v>
      </c>
      <c r="C688" s="107"/>
      <c r="D688" s="108"/>
      <c r="E688" s="108"/>
      <c r="F688" s="108"/>
      <c r="G688" s="113"/>
      <c r="H688" s="114"/>
    </row>
    <row r="689" ht="17.25" customHeight="1">
      <c r="A689" s="102"/>
      <c r="B689" s="105" t="b">
        <v>0</v>
      </c>
      <c r="C689" s="107"/>
      <c r="D689" s="108"/>
      <c r="E689" s="108"/>
      <c r="F689" s="108"/>
      <c r="G689" s="113"/>
      <c r="H689" s="114"/>
    </row>
    <row r="690" ht="17.25" customHeight="1">
      <c r="A690" s="102"/>
      <c r="B690" s="105" t="b">
        <v>0</v>
      </c>
      <c r="C690" s="107"/>
      <c r="D690" s="108"/>
      <c r="E690" s="108"/>
      <c r="F690" s="108"/>
      <c r="G690" s="113"/>
      <c r="H690" s="114"/>
    </row>
    <row r="691" ht="17.25" customHeight="1">
      <c r="A691" s="102"/>
      <c r="B691" s="105" t="b">
        <v>0</v>
      </c>
      <c r="C691" s="107"/>
      <c r="D691" s="108"/>
      <c r="E691" s="108"/>
      <c r="F691" s="108"/>
      <c r="G691" s="113"/>
      <c r="H691" s="114"/>
    </row>
    <row r="692" ht="17.25" customHeight="1">
      <c r="A692" s="102"/>
      <c r="B692" s="105" t="b">
        <v>0</v>
      </c>
      <c r="C692" s="107"/>
      <c r="D692" s="108"/>
      <c r="E692" s="108"/>
      <c r="F692" s="108"/>
      <c r="G692" s="113"/>
      <c r="H692" s="114"/>
    </row>
    <row r="693" ht="17.25" customHeight="1">
      <c r="A693" s="102"/>
      <c r="B693" s="105" t="b">
        <v>0</v>
      </c>
      <c r="C693" s="107"/>
      <c r="D693" s="108"/>
      <c r="E693" s="108"/>
      <c r="F693" s="108"/>
      <c r="G693" s="113"/>
      <c r="H693" s="114"/>
    </row>
    <row r="694" ht="17.25" customHeight="1">
      <c r="A694" s="102"/>
      <c r="B694" s="105" t="b">
        <v>0</v>
      </c>
      <c r="C694" s="107"/>
      <c r="D694" s="108"/>
      <c r="E694" s="108"/>
      <c r="F694" s="108"/>
      <c r="G694" s="113"/>
      <c r="H694" s="114"/>
    </row>
    <row r="695" ht="17.25" customHeight="1">
      <c r="A695" s="102"/>
      <c r="B695" s="105" t="b">
        <v>0</v>
      </c>
      <c r="C695" s="107"/>
      <c r="D695" s="108"/>
      <c r="E695" s="108"/>
      <c r="F695" s="108"/>
      <c r="G695" s="113"/>
      <c r="H695" s="114"/>
    </row>
    <row r="696" ht="17.25" customHeight="1">
      <c r="A696" s="102"/>
      <c r="B696" s="105" t="b">
        <v>0</v>
      </c>
      <c r="C696" s="107"/>
      <c r="D696" s="108"/>
      <c r="E696" s="108"/>
      <c r="F696" s="108"/>
      <c r="G696" s="113"/>
      <c r="H696" s="114"/>
    </row>
    <row r="697" ht="17.25" customHeight="1">
      <c r="A697" s="102"/>
      <c r="B697" s="105" t="b">
        <v>0</v>
      </c>
      <c r="C697" s="107"/>
      <c r="D697" s="108"/>
      <c r="E697" s="108"/>
      <c r="F697" s="108"/>
      <c r="G697" s="113"/>
      <c r="H697" s="114"/>
    </row>
    <row r="698" ht="17.25" customHeight="1">
      <c r="A698" s="102"/>
      <c r="B698" s="105" t="b">
        <v>0</v>
      </c>
      <c r="C698" s="107"/>
      <c r="D698" s="108"/>
      <c r="E698" s="108"/>
      <c r="F698" s="108"/>
      <c r="G698" s="113"/>
      <c r="H698" s="114"/>
    </row>
    <row r="699" ht="17.25" customHeight="1">
      <c r="A699" s="102"/>
      <c r="B699" s="105" t="b">
        <v>0</v>
      </c>
      <c r="C699" s="107"/>
      <c r="D699" s="108"/>
      <c r="E699" s="108"/>
      <c r="F699" s="108"/>
      <c r="G699" s="113"/>
      <c r="H699" s="114"/>
    </row>
    <row r="700" ht="17.25" customHeight="1">
      <c r="A700" s="102"/>
      <c r="B700" s="105" t="b">
        <v>0</v>
      </c>
      <c r="C700" s="107"/>
      <c r="D700" s="108"/>
      <c r="E700" s="108"/>
      <c r="F700" s="108"/>
      <c r="G700" s="113"/>
      <c r="H700" s="114"/>
    </row>
    <row r="701" ht="17.25" customHeight="1">
      <c r="A701" s="102"/>
      <c r="B701" s="105" t="b">
        <v>0</v>
      </c>
      <c r="C701" s="107"/>
      <c r="D701" s="108"/>
      <c r="E701" s="108"/>
      <c r="F701" s="108"/>
      <c r="G701" s="113"/>
      <c r="H701" s="114"/>
    </row>
    <row r="702" ht="17.25" customHeight="1">
      <c r="A702" s="102"/>
      <c r="B702" s="105" t="b">
        <v>0</v>
      </c>
      <c r="C702" s="107"/>
      <c r="D702" s="108"/>
      <c r="E702" s="108"/>
      <c r="F702" s="108"/>
      <c r="G702" s="113"/>
      <c r="H702" s="114"/>
    </row>
    <row r="703" ht="17.25" customHeight="1">
      <c r="A703" s="102"/>
      <c r="B703" s="105" t="b">
        <v>0</v>
      </c>
      <c r="C703" s="107"/>
      <c r="D703" s="108"/>
      <c r="E703" s="108"/>
      <c r="F703" s="108"/>
      <c r="G703" s="113"/>
      <c r="H703" s="114"/>
    </row>
    <row r="704" ht="17.25" customHeight="1">
      <c r="A704" s="102"/>
      <c r="B704" s="105" t="b">
        <v>0</v>
      </c>
      <c r="C704" s="107"/>
      <c r="D704" s="108"/>
      <c r="E704" s="108"/>
      <c r="F704" s="108"/>
      <c r="G704" s="113"/>
      <c r="H704" s="114"/>
    </row>
    <row r="705" ht="17.25" customHeight="1">
      <c r="A705" s="102"/>
      <c r="B705" s="105" t="b">
        <v>0</v>
      </c>
      <c r="C705" s="107"/>
      <c r="D705" s="108"/>
      <c r="E705" s="108"/>
      <c r="F705" s="108"/>
      <c r="G705" s="113"/>
      <c r="H705" s="114"/>
    </row>
    <row r="706" ht="17.25" customHeight="1">
      <c r="A706" s="102"/>
      <c r="B706" s="105" t="b">
        <v>0</v>
      </c>
      <c r="C706" s="107"/>
      <c r="D706" s="108"/>
      <c r="E706" s="108"/>
      <c r="F706" s="108"/>
      <c r="G706" s="113"/>
      <c r="H706" s="114"/>
    </row>
    <row r="707" ht="17.25" customHeight="1">
      <c r="A707" s="102"/>
      <c r="B707" s="105" t="b">
        <v>0</v>
      </c>
      <c r="C707" s="107"/>
      <c r="D707" s="108"/>
      <c r="E707" s="108"/>
      <c r="F707" s="108"/>
      <c r="G707" s="113"/>
      <c r="H707" s="114"/>
    </row>
    <row r="708" ht="17.25" customHeight="1">
      <c r="A708" s="102"/>
      <c r="B708" s="105" t="b">
        <v>0</v>
      </c>
      <c r="C708" s="107"/>
      <c r="D708" s="108"/>
      <c r="E708" s="108"/>
      <c r="F708" s="108"/>
      <c r="G708" s="113"/>
      <c r="H708" s="114"/>
    </row>
    <row r="709" ht="17.25" customHeight="1">
      <c r="A709" s="102"/>
      <c r="B709" s="105" t="b">
        <v>0</v>
      </c>
      <c r="C709" s="107"/>
      <c r="D709" s="108"/>
      <c r="E709" s="108"/>
      <c r="F709" s="108"/>
      <c r="G709" s="113"/>
      <c r="H709" s="114"/>
    </row>
    <row r="710" ht="17.25" customHeight="1">
      <c r="A710" s="102"/>
      <c r="B710" s="105" t="b">
        <v>0</v>
      </c>
      <c r="C710" s="107"/>
      <c r="D710" s="108"/>
      <c r="E710" s="108"/>
      <c r="F710" s="108"/>
      <c r="G710" s="113"/>
      <c r="H710" s="114"/>
    </row>
    <row r="711" ht="17.25" customHeight="1">
      <c r="A711" s="102"/>
      <c r="B711" s="105" t="b">
        <v>0</v>
      </c>
      <c r="C711" s="107"/>
      <c r="D711" s="108"/>
      <c r="E711" s="108"/>
      <c r="F711" s="108"/>
      <c r="G711" s="113"/>
      <c r="H711" s="114"/>
    </row>
    <row r="712" ht="17.25" customHeight="1">
      <c r="A712" s="102"/>
      <c r="B712" s="105" t="b">
        <v>0</v>
      </c>
      <c r="C712" s="107"/>
      <c r="D712" s="108"/>
      <c r="E712" s="108"/>
      <c r="F712" s="108"/>
      <c r="G712" s="113"/>
      <c r="H712" s="114"/>
    </row>
    <row r="713" ht="17.25" customHeight="1">
      <c r="A713" s="102"/>
      <c r="B713" s="105" t="b">
        <v>0</v>
      </c>
      <c r="C713" s="107"/>
      <c r="D713" s="108"/>
      <c r="E713" s="108"/>
      <c r="F713" s="108"/>
      <c r="G713" s="113"/>
      <c r="H713" s="114"/>
    </row>
    <row r="714" ht="17.25" customHeight="1">
      <c r="A714" s="102"/>
      <c r="B714" s="105" t="b">
        <v>0</v>
      </c>
      <c r="C714" s="107"/>
      <c r="D714" s="108"/>
      <c r="E714" s="108"/>
      <c r="F714" s="108"/>
      <c r="G714" s="113"/>
      <c r="H714" s="114"/>
    </row>
    <row r="715" ht="17.25" customHeight="1">
      <c r="A715" s="102"/>
      <c r="B715" s="105" t="b">
        <v>0</v>
      </c>
      <c r="C715" s="107"/>
      <c r="D715" s="108"/>
      <c r="E715" s="108"/>
      <c r="F715" s="108"/>
      <c r="G715" s="113"/>
      <c r="H715" s="114"/>
    </row>
    <row r="716" ht="17.25" customHeight="1">
      <c r="A716" s="102"/>
      <c r="B716" s="105" t="b">
        <v>0</v>
      </c>
      <c r="C716" s="107"/>
      <c r="D716" s="108"/>
      <c r="E716" s="108"/>
      <c r="F716" s="108"/>
      <c r="G716" s="113"/>
      <c r="H716" s="114"/>
    </row>
    <row r="717" ht="17.25" customHeight="1">
      <c r="A717" s="102"/>
      <c r="B717" s="105" t="b">
        <v>0</v>
      </c>
      <c r="C717" s="107"/>
      <c r="D717" s="108"/>
      <c r="E717" s="108"/>
      <c r="F717" s="108"/>
      <c r="G717" s="113"/>
      <c r="H717" s="114"/>
    </row>
    <row r="718" ht="17.25" customHeight="1">
      <c r="A718" s="102"/>
      <c r="B718" s="105" t="b">
        <v>0</v>
      </c>
      <c r="C718" s="107"/>
      <c r="D718" s="108"/>
      <c r="E718" s="108"/>
      <c r="F718" s="108"/>
      <c r="G718" s="113"/>
      <c r="H718" s="114"/>
    </row>
    <row r="719" ht="17.25" customHeight="1">
      <c r="A719" s="102"/>
      <c r="B719" s="105" t="b">
        <v>0</v>
      </c>
      <c r="C719" s="107"/>
      <c r="D719" s="108"/>
      <c r="E719" s="108"/>
      <c r="F719" s="108"/>
      <c r="G719" s="113"/>
      <c r="H719" s="114"/>
    </row>
    <row r="720" ht="17.25" customHeight="1">
      <c r="A720" s="102"/>
      <c r="B720" s="105" t="b">
        <v>0</v>
      </c>
      <c r="C720" s="107"/>
      <c r="D720" s="108"/>
      <c r="E720" s="108"/>
      <c r="F720" s="108"/>
      <c r="G720" s="113"/>
      <c r="H720" s="114"/>
    </row>
    <row r="721" ht="17.25" customHeight="1">
      <c r="A721" s="102"/>
      <c r="B721" s="105" t="b">
        <v>0</v>
      </c>
      <c r="C721" s="107"/>
      <c r="D721" s="108"/>
      <c r="E721" s="108"/>
      <c r="F721" s="108"/>
      <c r="G721" s="113"/>
      <c r="H721" s="114"/>
    </row>
    <row r="722" ht="17.25" customHeight="1">
      <c r="A722" s="102"/>
      <c r="B722" s="105" t="b">
        <v>0</v>
      </c>
      <c r="C722" s="107"/>
      <c r="D722" s="108"/>
      <c r="E722" s="108"/>
      <c r="F722" s="108"/>
      <c r="G722" s="113"/>
      <c r="H722" s="114"/>
    </row>
    <row r="723" ht="17.25" customHeight="1">
      <c r="A723" s="102"/>
      <c r="B723" s="105" t="b">
        <v>0</v>
      </c>
      <c r="C723" s="107"/>
      <c r="D723" s="108"/>
      <c r="E723" s="108"/>
      <c r="F723" s="108"/>
      <c r="G723" s="113"/>
      <c r="H723" s="114"/>
    </row>
    <row r="724" ht="17.25" customHeight="1">
      <c r="A724" s="102"/>
      <c r="B724" s="105" t="b">
        <v>0</v>
      </c>
      <c r="C724" s="107"/>
      <c r="D724" s="108"/>
      <c r="E724" s="108"/>
      <c r="F724" s="108"/>
      <c r="G724" s="113"/>
      <c r="H724" s="114"/>
    </row>
    <row r="725" ht="17.25" customHeight="1">
      <c r="A725" s="102"/>
      <c r="B725" s="105" t="b">
        <v>0</v>
      </c>
      <c r="C725" s="107"/>
      <c r="D725" s="108"/>
      <c r="E725" s="108"/>
      <c r="F725" s="108"/>
      <c r="G725" s="113"/>
      <c r="H725" s="114"/>
    </row>
    <row r="726" ht="17.25" customHeight="1">
      <c r="A726" s="102"/>
      <c r="B726" s="105" t="b">
        <v>0</v>
      </c>
      <c r="C726" s="107"/>
      <c r="D726" s="108"/>
      <c r="E726" s="108"/>
      <c r="F726" s="108"/>
      <c r="G726" s="113"/>
      <c r="H726" s="114"/>
    </row>
    <row r="727" ht="17.25" customHeight="1">
      <c r="A727" s="102"/>
      <c r="B727" s="105" t="b">
        <v>0</v>
      </c>
      <c r="C727" s="107"/>
      <c r="D727" s="108"/>
      <c r="E727" s="108"/>
      <c r="F727" s="108"/>
      <c r="G727" s="113"/>
      <c r="H727" s="114"/>
    </row>
    <row r="728" ht="17.25" customHeight="1">
      <c r="A728" s="102"/>
      <c r="B728" s="105" t="b">
        <v>0</v>
      </c>
      <c r="C728" s="107"/>
      <c r="D728" s="108"/>
      <c r="E728" s="108"/>
      <c r="F728" s="108"/>
      <c r="G728" s="113"/>
      <c r="H728" s="114"/>
    </row>
    <row r="729" ht="17.25" customHeight="1">
      <c r="A729" s="102"/>
      <c r="B729" s="105" t="b">
        <v>0</v>
      </c>
      <c r="C729" s="107"/>
      <c r="D729" s="108"/>
      <c r="E729" s="108"/>
      <c r="F729" s="108"/>
      <c r="G729" s="113"/>
      <c r="H729" s="114"/>
    </row>
    <row r="730" ht="17.25" customHeight="1">
      <c r="A730" s="102"/>
      <c r="B730" s="105" t="b">
        <v>0</v>
      </c>
      <c r="C730" s="107"/>
      <c r="D730" s="108"/>
      <c r="E730" s="108"/>
      <c r="F730" s="108"/>
      <c r="G730" s="113"/>
      <c r="H730" s="114"/>
    </row>
    <row r="731" ht="17.25" customHeight="1">
      <c r="A731" s="102"/>
      <c r="B731" s="105" t="b">
        <v>0</v>
      </c>
      <c r="C731" s="107"/>
      <c r="D731" s="108"/>
      <c r="E731" s="108"/>
      <c r="F731" s="108"/>
      <c r="G731" s="113"/>
      <c r="H731" s="114"/>
    </row>
    <row r="732" ht="17.25" customHeight="1">
      <c r="A732" s="102"/>
      <c r="B732" s="105" t="b">
        <v>0</v>
      </c>
      <c r="C732" s="107"/>
      <c r="D732" s="108"/>
      <c r="E732" s="108"/>
      <c r="F732" s="108"/>
      <c r="G732" s="113"/>
      <c r="H732" s="114"/>
    </row>
    <row r="733" ht="17.25" customHeight="1">
      <c r="A733" s="102"/>
      <c r="B733" s="105" t="b">
        <v>0</v>
      </c>
      <c r="C733" s="107"/>
      <c r="D733" s="108"/>
      <c r="E733" s="108"/>
      <c r="F733" s="108"/>
      <c r="G733" s="113"/>
      <c r="H733" s="114"/>
    </row>
    <row r="734" ht="17.25" customHeight="1">
      <c r="A734" s="102"/>
      <c r="B734" s="105" t="b">
        <v>0</v>
      </c>
      <c r="C734" s="107"/>
      <c r="D734" s="108"/>
      <c r="E734" s="108"/>
      <c r="F734" s="108"/>
      <c r="G734" s="113"/>
      <c r="H734" s="114"/>
    </row>
    <row r="735" ht="17.25" customHeight="1">
      <c r="A735" s="102"/>
      <c r="B735" s="105" t="b">
        <v>0</v>
      </c>
      <c r="C735" s="107"/>
      <c r="D735" s="108"/>
      <c r="E735" s="108"/>
      <c r="F735" s="108"/>
      <c r="G735" s="113"/>
      <c r="H735" s="114"/>
    </row>
    <row r="736" ht="17.25" customHeight="1">
      <c r="A736" s="102"/>
      <c r="B736" s="105" t="b">
        <v>0</v>
      </c>
      <c r="C736" s="107"/>
      <c r="D736" s="108"/>
      <c r="E736" s="108"/>
      <c r="F736" s="108"/>
      <c r="G736" s="113"/>
      <c r="H736" s="114"/>
    </row>
    <row r="737" ht="17.25" customHeight="1">
      <c r="A737" s="102"/>
      <c r="B737" s="105" t="b">
        <v>0</v>
      </c>
      <c r="C737" s="107"/>
      <c r="D737" s="108"/>
      <c r="E737" s="108"/>
      <c r="F737" s="108"/>
      <c r="G737" s="113"/>
      <c r="H737" s="114"/>
    </row>
    <row r="738" ht="17.25" customHeight="1">
      <c r="A738" s="102"/>
      <c r="B738" s="105" t="b">
        <v>0</v>
      </c>
      <c r="C738" s="107"/>
      <c r="D738" s="108"/>
      <c r="E738" s="108"/>
      <c r="F738" s="108"/>
      <c r="G738" s="113"/>
      <c r="H738" s="114"/>
    </row>
    <row r="739" ht="17.25" customHeight="1">
      <c r="A739" s="102"/>
      <c r="B739" s="105" t="b">
        <v>0</v>
      </c>
      <c r="C739" s="107"/>
      <c r="D739" s="108"/>
      <c r="E739" s="108"/>
      <c r="F739" s="108"/>
      <c r="G739" s="113"/>
      <c r="H739" s="114"/>
    </row>
    <row r="740" ht="17.25" customHeight="1">
      <c r="A740" s="102"/>
      <c r="B740" s="105" t="b">
        <v>0</v>
      </c>
      <c r="C740" s="107"/>
      <c r="D740" s="108"/>
      <c r="E740" s="108"/>
      <c r="F740" s="108"/>
      <c r="G740" s="113"/>
      <c r="H740" s="114"/>
    </row>
    <row r="741" ht="17.25" customHeight="1">
      <c r="A741" s="102"/>
      <c r="B741" s="105" t="b">
        <v>0</v>
      </c>
      <c r="C741" s="107"/>
      <c r="D741" s="108"/>
      <c r="E741" s="108"/>
      <c r="F741" s="108"/>
      <c r="G741" s="113"/>
      <c r="H741" s="114"/>
    </row>
    <row r="742" ht="17.25" customHeight="1">
      <c r="A742" s="102"/>
      <c r="B742" s="105" t="b">
        <v>0</v>
      </c>
      <c r="C742" s="107"/>
      <c r="D742" s="108"/>
      <c r="E742" s="108"/>
      <c r="F742" s="108"/>
      <c r="G742" s="113"/>
      <c r="H742" s="114"/>
    </row>
    <row r="743" ht="17.25" customHeight="1">
      <c r="A743" s="102"/>
      <c r="B743" s="105" t="b">
        <v>0</v>
      </c>
      <c r="C743" s="107"/>
      <c r="D743" s="108"/>
      <c r="E743" s="108"/>
      <c r="F743" s="108"/>
      <c r="G743" s="113"/>
      <c r="H743" s="114"/>
    </row>
    <row r="744" ht="17.25" customHeight="1">
      <c r="A744" s="102"/>
      <c r="B744" s="105" t="b">
        <v>0</v>
      </c>
      <c r="C744" s="107"/>
      <c r="D744" s="108"/>
      <c r="E744" s="108"/>
      <c r="F744" s="108"/>
      <c r="G744" s="113"/>
      <c r="H744" s="114"/>
    </row>
    <row r="745" ht="17.25" customHeight="1">
      <c r="A745" s="102"/>
      <c r="B745" s="105" t="b">
        <v>0</v>
      </c>
      <c r="C745" s="107"/>
      <c r="D745" s="108"/>
      <c r="E745" s="108"/>
      <c r="F745" s="108"/>
      <c r="G745" s="113"/>
      <c r="H745" s="114"/>
    </row>
    <row r="746" ht="17.25" customHeight="1">
      <c r="A746" s="102"/>
      <c r="B746" s="105" t="b">
        <v>0</v>
      </c>
      <c r="C746" s="107"/>
      <c r="D746" s="108"/>
      <c r="E746" s="108"/>
      <c r="F746" s="108"/>
      <c r="G746" s="113"/>
      <c r="H746" s="114"/>
    </row>
    <row r="747" ht="17.25" customHeight="1">
      <c r="A747" s="102"/>
      <c r="B747" s="105" t="b">
        <v>0</v>
      </c>
      <c r="C747" s="107"/>
      <c r="D747" s="108"/>
      <c r="E747" s="108"/>
      <c r="F747" s="108"/>
      <c r="G747" s="113"/>
      <c r="H747" s="114"/>
    </row>
    <row r="748" ht="17.25" customHeight="1">
      <c r="A748" s="102"/>
      <c r="B748" s="105" t="b">
        <v>0</v>
      </c>
      <c r="C748" s="107"/>
      <c r="D748" s="108"/>
      <c r="E748" s="108"/>
      <c r="F748" s="108"/>
      <c r="G748" s="113"/>
      <c r="H748" s="114"/>
    </row>
    <row r="749" ht="17.25" customHeight="1">
      <c r="A749" s="102"/>
      <c r="B749" s="105" t="b">
        <v>0</v>
      </c>
      <c r="C749" s="107"/>
      <c r="D749" s="108"/>
      <c r="E749" s="108"/>
      <c r="F749" s="108"/>
      <c r="G749" s="113"/>
      <c r="H749" s="114"/>
    </row>
    <row r="750" ht="17.25" customHeight="1">
      <c r="A750" s="102"/>
      <c r="B750" s="105" t="b">
        <v>0</v>
      </c>
      <c r="C750" s="107"/>
      <c r="D750" s="108"/>
      <c r="E750" s="108"/>
      <c r="F750" s="108"/>
      <c r="G750" s="113"/>
      <c r="H750" s="114"/>
    </row>
    <row r="751" ht="17.25" customHeight="1">
      <c r="A751" s="102"/>
      <c r="B751" s="105" t="b">
        <v>0</v>
      </c>
      <c r="C751" s="107"/>
      <c r="D751" s="108"/>
      <c r="E751" s="108"/>
      <c r="F751" s="108"/>
      <c r="G751" s="113"/>
      <c r="H751" s="114"/>
    </row>
    <row r="752" ht="17.25" customHeight="1">
      <c r="A752" s="102"/>
      <c r="B752" s="105" t="b">
        <v>0</v>
      </c>
      <c r="C752" s="107"/>
      <c r="D752" s="108"/>
      <c r="E752" s="108"/>
      <c r="F752" s="108"/>
      <c r="G752" s="113"/>
      <c r="H752" s="114"/>
    </row>
    <row r="753" ht="17.25" customHeight="1">
      <c r="A753" s="102"/>
      <c r="B753" s="105" t="b">
        <v>0</v>
      </c>
      <c r="C753" s="107"/>
      <c r="D753" s="108"/>
      <c r="E753" s="108"/>
      <c r="F753" s="108"/>
      <c r="G753" s="113"/>
      <c r="H753" s="114"/>
    </row>
    <row r="754" ht="17.25" customHeight="1">
      <c r="A754" s="102"/>
      <c r="B754" s="105" t="b">
        <v>0</v>
      </c>
      <c r="C754" s="107"/>
      <c r="D754" s="108"/>
      <c r="E754" s="108"/>
      <c r="F754" s="108"/>
      <c r="G754" s="113"/>
      <c r="H754" s="114"/>
    </row>
    <row r="755" ht="17.25" customHeight="1">
      <c r="A755" s="102"/>
      <c r="B755" s="105" t="b">
        <v>0</v>
      </c>
      <c r="C755" s="107"/>
      <c r="D755" s="108"/>
      <c r="E755" s="108"/>
      <c r="F755" s="108"/>
      <c r="G755" s="113"/>
      <c r="H755" s="114"/>
    </row>
    <row r="756" ht="17.25" customHeight="1">
      <c r="A756" s="102"/>
      <c r="B756" s="105" t="b">
        <v>0</v>
      </c>
      <c r="C756" s="107"/>
      <c r="D756" s="108"/>
      <c r="E756" s="108"/>
      <c r="F756" s="108"/>
      <c r="G756" s="113"/>
      <c r="H756" s="114"/>
    </row>
    <row r="757" ht="17.25" customHeight="1">
      <c r="A757" s="102"/>
      <c r="B757" s="105" t="b">
        <v>0</v>
      </c>
      <c r="C757" s="107"/>
      <c r="D757" s="108"/>
      <c r="E757" s="108"/>
      <c r="F757" s="108"/>
      <c r="G757" s="113"/>
      <c r="H757" s="114"/>
    </row>
    <row r="758" ht="17.25" customHeight="1">
      <c r="A758" s="102"/>
      <c r="B758" s="105" t="b">
        <v>0</v>
      </c>
      <c r="C758" s="107"/>
      <c r="D758" s="108"/>
      <c r="E758" s="108"/>
      <c r="F758" s="108"/>
      <c r="G758" s="113"/>
      <c r="H758" s="114"/>
    </row>
    <row r="759" ht="17.25" customHeight="1">
      <c r="A759" s="102"/>
      <c r="B759" s="105" t="b">
        <v>0</v>
      </c>
      <c r="C759" s="107"/>
      <c r="D759" s="108"/>
      <c r="E759" s="108"/>
      <c r="F759" s="108"/>
      <c r="G759" s="113"/>
      <c r="H759" s="114"/>
    </row>
    <row r="760" ht="17.25" customHeight="1">
      <c r="A760" s="102"/>
      <c r="B760" s="105" t="b">
        <v>0</v>
      </c>
      <c r="C760" s="107"/>
      <c r="D760" s="108"/>
      <c r="E760" s="108"/>
      <c r="F760" s="108"/>
      <c r="G760" s="113"/>
      <c r="H760" s="114"/>
    </row>
    <row r="761" ht="17.25" customHeight="1">
      <c r="A761" s="102"/>
      <c r="B761" s="105" t="b">
        <v>0</v>
      </c>
      <c r="C761" s="107"/>
      <c r="D761" s="108"/>
      <c r="E761" s="108"/>
      <c r="F761" s="108"/>
      <c r="G761" s="113"/>
      <c r="H761" s="114"/>
    </row>
    <row r="762" ht="17.25" customHeight="1">
      <c r="A762" s="102"/>
      <c r="B762" s="105" t="b">
        <v>0</v>
      </c>
      <c r="C762" s="107"/>
      <c r="D762" s="108"/>
      <c r="E762" s="108"/>
      <c r="F762" s="108"/>
      <c r="G762" s="113"/>
      <c r="H762" s="114"/>
    </row>
    <row r="763" ht="17.25" customHeight="1">
      <c r="A763" s="102"/>
      <c r="B763" s="105" t="b">
        <v>0</v>
      </c>
      <c r="C763" s="107"/>
      <c r="D763" s="108"/>
      <c r="E763" s="108"/>
      <c r="F763" s="108"/>
      <c r="G763" s="113"/>
      <c r="H763" s="114"/>
    </row>
    <row r="764" ht="17.25" customHeight="1">
      <c r="A764" s="102"/>
      <c r="B764" s="105" t="b">
        <v>0</v>
      </c>
      <c r="C764" s="107"/>
      <c r="D764" s="108"/>
      <c r="E764" s="108"/>
      <c r="F764" s="108"/>
      <c r="G764" s="113"/>
      <c r="H764" s="114"/>
    </row>
    <row r="765" ht="17.25" customHeight="1">
      <c r="A765" s="102"/>
      <c r="B765" s="105" t="b">
        <v>0</v>
      </c>
      <c r="C765" s="107"/>
      <c r="D765" s="108"/>
      <c r="E765" s="108"/>
      <c r="F765" s="108"/>
      <c r="G765" s="113"/>
      <c r="H765" s="114"/>
    </row>
    <row r="766" ht="17.25" customHeight="1">
      <c r="A766" s="102"/>
      <c r="B766" s="105" t="b">
        <v>0</v>
      </c>
      <c r="C766" s="107"/>
      <c r="D766" s="108"/>
      <c r="E766" s="108"/>
      <c r="F766" s="108"/>
      <c r="G766" s="113"/>
      <c r="H766" s="114"/>
    </row>
    <row r="767" ht="17.25" customHeight="1">
      <c r="A767" s="102"/>
      <c r="B767" s="105" t="b">
        <v>0</v>
      </c>
      <c r="C767" s="107"/>
      <c r="D767" s="108"/>
      <c r="E767" s="108"/>
      <c r="F767" s="108"/>
      <c r="G767" s="113"/>
      <c r="H767" s="114"/>
    </row>
    <row r="768" ht="17.25" customHeight="1">
      <c r="A768" s="102"/>
      <c r="B768" s="105" t="b">
        <v>0</v>
      </c>
      <c r="C768" s="107"/>
      <c r="D768" s="108"/>
      <c r="E768" s="108"/>
      <c r="F768" s="108"/>
      <c r="G768" s="113"/>
      <c r="H768" s="114"/>
    </row>
    <row r="769" ht="17.25" customHeight="1">
      <c r="A769" s="102"/>
      <c r="B769" s="105" t="b">
        <v>0</v>
      </c>
      <c r="C769" s="107"/>
      <c r="D769" s="108"/>
      <c r="E769" s="108"/>
      <c r="F769" s="108"/>
      <c r="G769" s="113"/>
      <c r="H769" s="114"/>
    </row>
    <row r="770" ht="17.25" customHeight="1">
      <c r="A770" s="102"/>
      <c r="B770" s="105" t="b">
        <v>0</v>
      </c>
      <c r="C770" s="107"/>
      <c r="D770" s="108"/>
      <c r="E770" s="108"/>
      <c r="F770" s="108"/>
      <c r="G770" s="113"/>
      <c r="H770" s="114"/>
    </row>
    <row r="771" ht="17.25" customHeight="1">
      <c r="A771" s="102"/>
      <c r="B771" s="105" t="b">
        <v>0</v>
      </c>
      <c r="C771" s="107"/>
      <c r="D771" s="108"/>
      <c r="E771" s="108"/>
      <c r="F771" s="108"/>
      <c r="G771" s="113"/>
      <c r="H771" s="114"/>
    </row>
    <row r="772" ht="17.25" customHeight="1">
      <c r="A772" s="102"/>
      <c r="B772" s="105" t="b">
        <v>0</v>
      </c>
      <c r="C772" s="107"/>
      <c r="D772" s="108"/>
      <c r="E772" s="108"/>
      <c r="F772" s="108"/>
      <c r="G772" s="113"/>
      <c r="H772" s="114"/>
    </row>
    <row r="773" ht="17.25" customHeight="1">
      <c r="A773" s="102"/>
      <c r="B773" s="105" t="b">
        <v>0</v>
      </c>
      <c r="C773" s="107"/>
      <c r="D773" s="108"/>
      <c r="E773" s="108"/>
      <c r="F773" s="108"/>
      <c r="G773" s="113"/>
      <c r="H773" s="114"/>
    </row>
    <row r="774" ht="17.25" customHeight="1">
      <c r="A774" s="102"/>
      <c r="B774" s="105" t="b">
        <v>0</v>
      </c>
      <c r="C774" s="107"/>
      <c r="D774" s="108"/>
      <c r="E774" s="108"/>
      <c r="F774" s="108"/>
      <c r="G774" s="113"/>
      <c r="H774" s="114"/>
    </row>
    <row r="775" ht="17.25" customHeight="1">
      <c r="A775" s="102"/>
      <c r="B775" s="105" t="b">
        <v>0</v>
      </c>
      <c r="C775" s="107"/>
      <c r="D775" s="108"/>
      <c r="E775" s="108"/>
      <c r="F775" s="108"/>
      <c r="G775" s="113"/>
      <c r="H775" s="114"/>
    </row>
    <row r="776" ht="17.25" customHeight="1">
      <c r="A776" s="102"/>
      <c r="B776" s="105" t="b">
        <v>0</v>
      </c>
      <c r="C776" s="107"/>
      <c r="D776" s="108"/>
      <c r="E776" s="108"/>
      <c r="F776" s="108"/>
      <c r="G776" s="113"/>
      <c r="H776" s="114"/>
    </row>
    <row r="777" ht="17.25" customHeight="1">
      <c r="A777" s="102"/>
      <c r="B777" s="105" t="b">
        <v>0</v>
      </c>
      <c r="C777" s="107"/>
      <c r="D777" s="108"/>
      <c r="E777" s="108"/>
      <c r="F777" s="108"/>
      <c r="G777" s="113"/>
      <c r="H777" s="114"/>
    </row>
    <row r="778" ht="17.25" customHeight="1">
      <c r="A778" s="102"/>
      <c r="B778" s="105" t="b">
        <v>0</v>
      </c>
      <c r="C778" s="107"/>
      <c r="D778" s="108"/>
      <c r="E778" s="108"/>
      <c r="F778" s="108"/>
      <c r="G778" s="113"/>
      <c r="H778" s="114"/>
    </row>
    <row r="779" ht="17.25" customHeight="1">
      <c r="A779" s="102"/>
      <c r="B779" s="105" t="b">
        <v>0</v>
      </c>
      <c r="C779" s="107"/>
      <c r="D779" s="108"/>
      <c r="E779" s="108"/>
      <c r="F779" s="108"/>
      <c r="G779" s="113"/>
      <c r="H779" s="114"/>
    </row>
    <row r="780" ht="17.25" customHeight="1">
      <c r="A780" s="102"/>
      <c r="B780" s="105" t="b">
        <v>0</v>
      </c>
      <c r="C780" s="107"/>
      <c r="D780" s="108"/>
      <c r="E780" s="108"/>
      <c r="F780" s="108"/>
      <c r="G780" s="113"/>
      <c r="H780" s="114"/>
    </row>
    <row r="781" ht="17.25" customHeight="1">
      <c r="A781" s="102"/>
      <c r="B781" s="105" t="b">
        <v>0</v>
      </c>
      <c r="C781" s="107"/>
      <c r="D781" s="108"/>
      <c r="E781" s="108"/>
      <c r="F781" s="108"/>
      <c r="G781" s="113"/>
      <c r="H781" s="114"/>
    </row>
    <row r="782" ht="17.25" customHeight="1">
      <c r="A782" s="102"/>
      <c r="B782" s="105" t="b">
        <v>0</v>
      </c>
      <c r="C782" s="107"/>
      <c r="D782" s="108"/>
      <c r="E782" s="108"/>
      <c r="F782" s="108"/>
      <c r="G782" s="113"/>
      <c r="H782" s="114"/>
    </row>
    <row r="783" ht="17.25" customHeight="1">
      <c r="A783" s="102"/>
      <c r="B783" s="105" t="b">
        <v>0</v>
      </c>
      <c r="C783" s="107"/>
      <c r="D783" s="108"/>
      <c r="E783" s="108"/>
      <c r="F783" s="108"/>
      <c r="G783" s="113"/>
      <c r="H783" s="114"/>
    </row>
    <row r="784" ht="17.25" customHeight="1">
      <c r="A784" s="102"/>
      <c r="B784" s="105" t="b">
        <v>0</v>
      </c>
      <c r="C784" s="107"/>
      <c r="D784" s="108"/>
      <c r="E784" s="108"/>
      <c r="F784" s="108"/>
      <c r="G784" s="113"/>
      <c r="H784" s="114"/>
    </row>
    <row r="785" ht="17.25" customHeight="1">
      <c r="A785" s="102"/>
      <c r="B785" s="105" t="b">
        <v>0</v>
      </c>
      <c r="C785" s="107"/>
      <c r="D785" s="108"/>
      <c r="E785" s="108"/>
      <c r="F785" s="108"/>
      <c r="G785" s="113"/>
      <c r="H785" s="114"/>
    </row>
    <row r="786" ht="17.25" customHeight="1">
      <c r="A786" s="102"/>
      <c r="B786" s="105" t="b">
        <v>0</v>
      </c>
      <c r="C786" s="107"/>
      <c r="D786" s="108"/>
      <c r="E786" s="108"/>
      <c r="F786" s="108"/>
      <c r="G786" s="113"/>
      <c r="H786" s="114"/>
    </row>
    <row r="787" ht="17.25" customHeight="1">
      <c r="A787" s="102"/>
      <c r="B787" s="105" t="b">
        <v>0</v>
      </c>
      <c r="C787" s="107"/>
      <c r="D787" s="108"/>
      <c r="E787" s="108"/>
      <c r="F787" s="108"/>
      <c r="G787" s="113"/>
      <c r="H787" s="114"/>
    </row>
    <row r="788" ht="17.25" customHeight="1">
      <c r="A788" s="102"/>
      <c r="B788" s="105" t="b">
        <v>0</v>
      </c>
      <c r="C788" s="107"/>
      <c r="D788" s="108"/>
      <c r="E788" s="108"/>
      <c r="F788" s="108"/>
      <c r="G788" s="113"/>
      <c r="H788" s="114"/>
    </row>
    <row r="789" ht="17.25" customHeight="1">
      <c r="A789" s="102"/>
      <c r="B789" s="105" t="b">
        <v>0</v>
      </c>
      <c r="C789" s="107"/>
      <c r="D789" s="108"/>
      <c r="E789" s="108"/>
      <c r="F789" s="108"/>
      <c r="G789" s="113"/>
      <c r="H789" s="114"/>
    </row>
    <row r="790" ht="17.25" customHeight="1">
      <c r="A790" s="102"/>
      <c r="B790" s="105" t="b">
        <v>0</v>
      </c>
      <c r="C790" s="107"/>
      <c r="D790" s="108"/>
      <c r="E790" s="108"/>
      <c r="F790" s="108"/>
      <c r="G790" s="113"/>
      <c r="H790" s="114"/>
    </row>
    <row r="791" ht="17.25" customHeight="1">
      <c r="A791" s="102"/>
      <c r="B791" s="105" t="b">
        <v>0</v>
      </c>
      <c r="C791" s="107"/>
      <c r="D791" s="108"/>
      <c r="E791" s="108"/>
      <c r="F791" s="108"/>
      <c r="G791" s="113"/>
      <c r="H791" s="114"/>
    </row>
    <row r="792" ht="17.25" customHeight="1">
      <c r="A792" s="102"/>
      <c r="B792" s="105" t="b">
        <v>0</v>
      </c>
      <c r="C792" s="107"/>
      <c r="D792" s="108"/>
      <c r="E792" s="108"/>
      <c r="F792" s="108"/>
      <c r="G792" s="113"/>
      <c r="H792" s="114"/>
    </row>
    <row r="793" ht="17.25" customHeight="1">
      <c r="A793" s="102"/>
      <c r="B793" s="105" t="b">
        <v>0</v>
      </c>
      <c r="C793" s="107"/>
      <c r="D793" s="108"/>
      <c r="E793" s="108"/>
      <c r="F793" s="108"/>
      <c r="G793" s="113"/>
      <c r="H793" s="114"/>
    </row>
    <row r="794" ht="17.25" customHeight="1">
      <c r="A794" s="102"/>
      <c r="B794" s="105" t="b">
        <v>0</v>
      </c>
      <c r="C794" s="107"/>
      <c r="D794" s="108"/>
      <c r="E794" s="108"/>
      <c r="F794" s="108"/>
      <c r="G794" s="113"/>
      <c r="H794" s="114"/>
    </row>
    <row r="795" ht="17.25" customHeight="1">
      <c r="A795" s="102"/>
      <c r="B795" s="105" t="b">
        <v>0</v>
      </c>
      <c r="C795" s="107"/>
      <c r="D795" s="108"/>
      <c r="E795" s="108"/>
      <c r="F795" s="108"/>
      <c r="G795" s="113"/>
      <c r="H795" s="114"/>
    </row>
    <row r="796" ht="17.25" customHeight="1">
      <c r="A796" s="102"/>
      <c r="B796" s="105" t="b">
        <v>0</v>
      </c>
      <c r="C796" s="107"/>
      <c r="D796" s="108"/>
      <c r="E796" s="108"/>
      <c r="F796" s="108"/>
      <c r="G796" s="113"/>
      <c r="H796" s="114"/>
    </row>
    <row r="797" ht="17.25" customHeight="1">
      <c r="A797" s="102"/>
      <c r="B797" s="105" t="b">
        <v>0</v>
      </c>
      <c r="C797" s="107"/>
      <c r="D797" s="108"/>
      <c r="E797" s="108"/>
      <c r="F797" s="108"/>
      <c r="G797" s="113"/>
      <c r="H797" s="114"/>
    </row>
    <row r="798" ht="17.25" customHeight="1">
      <c r="A798" s="102"/>
      <c r="B798" s="105" t="b">
        <v>0</v>
      </c>
      <c r="C798" s="107"/>
      <c r="D798" s="108"/>
      <c r="E798" s="108"/>
      <c r="F798" s="108"/>
      <c r="G798" s="113"/>
      <c r="H798" s="114"/>
    </row>
    <row r="799" ht="17.25" customHeight="1">
      <c r="A799" s="102"/>
      <c r="B799" s="105" t="b">
        <v>0</v>
      </c>
      <c r="C799" s="107"/>
      <c r="D799" s="108"/>
      <c r="E799" s="108"/>
      <c r="F799" s="108"/>
      <c r="G799" s="113"/>
      <c r="H799" s="114"/>
    </row>
    <row r="800" ht="17.25" customHeight="1">
      <c r="A800" s="102"/>
      <c r="B800" s="105" t="b">
        <v>0</v>
      </c>
      <c r="C800" s="107"/>
      <c r="D800" s="108"/>
      <c r="E800" s="108"/>
      <c r="F800" s="108"/>
      <c r="G800" s="113"/>
      <c r="H800" s="114"/>
    </row>
    <row r="801" ht="17.25" customHeight="1">
      <c r="A801" s="102"/>
      <c r="B801" s="105" t="b">
        <v>0</v>
      </c>
      <c r="C801" s="107"/>
      <c r="D801" s="108"/>
      <c r="E801" s="108"/>
      <c r="F801" s="108"/>
      <c r="G801" s="113"/>
      <c r="H801" s="114"/>
    </row>
    <row r="802" ht="17.25" customHeight="1">
      <c r="A802" s="102"/>
      <c r="B802" s="105" t="b">
        <v>0</v>
      </c>
      <c r="C802" s="107"/>
      <c r="D802" s="108"/>
      <c r="E802" s="108"/>
      <c r="F802" s="108"/>
      <c r="G802" s="113"/>
      <c r="H802" s="114"/>
    </row>
    <row r="803" ht="17.25" customHeight="1">
      <c r="A803" s="102"/>
      <c r="B803" s="105" t="b">
        <v>0</v>
      </c>
      <c r="C803" s="107"/>
      <c r="D803" s="108"/>
      <c r="E803" s="108"/>
      <c r="F803" s="108"/>
      <c r="G803" s="113"/>
      <c r="H803" s="114"/>
    </row>
    <row r="804" ht="17.25" customHeight="1">
      <c r="A804" s="102"/>
      <c r="B804" s="105" t="b">
        <v>0</v>
      </c>
      <c r="C804" s="107"/>
      <c r="D804" s="108"/>
      <c r="E804" s="108"/>
      <c r="F804" s="108"/>
      <c r="G804" s="113"/>
      <c r="H804" s="114"/>
    </row>
    <row r="805" ht="17.25" customHeight="1">
      <c r="A805" s="102"/>
      <c r="B805" s="105" t="b">
        <v>0</v>
      </c>
      <c r="C805" s="107"/>
      <c r="D805" s="108"/>
      <c r="E805" s="108"/>
      <c r="F805" s="108"/>
      <c r="G805" s="113"/>
      <c r="H805" s="114"/>
    </row>
    <row r="806" ht="17.25" customHeight="1">
      <c r="A806" s="102"/>
      <c r="B806" s="105" t="b">
        <v>0</v>
      </c>
      <c r="C806" s="107"/>
      <c r="D806" s="108"/>
      <c r="E806" s="108"/>
      <c r="F806" s="108"/>
      <c r="G806" s="113"/>
      <c r="H806" s="114"/>
    </row>
    <row r="807" ht="17.25" customHeight="1">
      <c r="A807" s="102"/>
      <c r="B807" s="105" t="b">
        <v>0</v>
      </c>
      <c r="C807" s="107"/>
      <c r="D807" s="108"/>
      <c r="E807" s="108"/>
      <c r="F807" s="108"/>
      <c r="G807" s="113"/>
      <c r="H807" s="114"/>
    </row>
    <row r="808" ht="17.25" customHeight="1">
      <c r="A808" s="102"/>
      <c r="B808" s="105" t="b">
        <v>0</v>
      </c>
      <c r="C808" s="107"/>
      <c r="D808" s="108"/>
      <c r="E808" s="108"/>
      <c r="F808" s="108"/>
      <c r="G808" s="113"/>
      <c r="H808" s="114"/>
    </row>
    <row r="809" ht="17.25" customHeight="1">
      <c r="A809" s="102"/>
      <c r="B809" s="105" t="b">
        <v>0</v>
      </c>
      <c r="C809" s="107"/>
      <c r="D809" s="108"/>
      <c r="E809" s="108"/>
      <c r="F809" s="108"/>
      <c r="G809" s="113"/>
      <c r="H809" s="114"/>
    </row>
    <row r="810" ht="17.25" customHeight="1">
      <c r="A810" s="102"/>
      <c r="B810" s="105" t="b">
        <v>0</v>
      </c>
      <c r="C810" s="107"/>
      <c r="D810" s="108"/>
      <c r="E810" s="108"/>
      <c r="F810" s="108"/>
      <c r="G810" s="113"/>
      <c r="H810" s="114"/>
    </row>
    <row r="811" ht="17.25" customHeight="1">
      <c r="A811" s="102"/>
      <c r="B811" s="105" t="b">
        <v>0</v>
      </c>
      <c r="C811" s="107"/>
      <c r="D811" s="108"/>
      <c r="E811" s="108"/>
      <c r="F811" s="108"/>
      <c r="G811" s="113"/>
      <c r="H811" s="114"/>
    </row>
    <row r="812" ht="17.25" customHeight="1">
      <c r="A812" s="102"/>
      <c r="B812" s="105" t="b">
        <v>0</v>
      </c>
      <c r="C812" s="107"/>
      <c r="D812" s="108"/>
      <c r="E812" s="108"/>
      <c r="F812" s="108"/>
      <c r="G812" s="113"/>
      <c r="H812" s="114"/>
    </row>
    <row r="813" ht="17.25" customHeight="1">
      <c r="A813" s="102"/>
      <c r="B813" s="105" t="b">
        <v>0</v>
      </c>
      <c r="C813" s="107"/>
      <c r="D813" s="108"/>
      <c r="E813" s="108"/>
      <c r="F813" s="108"/>
      <c r="G813" s="113"/>
      <c r="H813" s="114"/>
    </row>
    <row r="814" ht="17.25" customHeight="1">
      <c r="A814" s="102"/>
      <c r="B814" s="105" t="b">
        <v>0</v>
      </c>
      <c r="C814" s="107"/>
      <c r="D814" s="108"/>
      <c r="E814" s="108"/>
      <c r="F814" s="108"/>
      <c r="G814" s="113"/>
      <c r="H814" s="114"/>
    </row>
    <row r="815" ht="17.25" customHeight="1">
      <c r="A815" s="102"/>
      <c r="B815" s="105" t="b">
        <v>0</v>
      </c>
      <c r="C815" s="107"/>
      <c r="D815" s="108"/>
      <c r="E815" s="108"/>
      <c r="F815" s="108"/>
      <c r="G815" s="113"/>
      <c r="H815" s="114"/>
    </row>
    <row r="816" ht="17.25" customHeight="1">
      <c r="A816" s="102"/>
      <c r="B816" s="105" t="b">
        <v>0</v>
      </c>
      <c r="C816" s="107"/>
      <c r="D816" s="108"/>
      <c r="E816" s="108"/>
      <c r="F816" s="108"/>
      <c r="G816" s="113"/>
      <c r="H816" s="114"/>
    </row>
    <row r="817" ht="17.25" customHeight="1">
      <c r="A817" s="102"/>
      <c r="B817" s="105" t="b">
        <v>0</v>
      </c>
      <c r="C817" s="107"/>
      <c r="D817" s="108"/>
      <c r="E817" s="108"/>
      <c r="F817" s="108"/>
      <c r="G817" s="113"/>
      <c r="H817" s="114"/>
    </row>
    <row r="818" ht="17.25" customHeight="1">
      <c r="A818" s="102"/>
      <c r="B818" s="105" t="b">
        <v>0</v>
      </c>
      <c r="C818" s="107"/>
      <c r="D818" s="108"/>
      <c r="E818" s="108"/>
      <c r="F818" s="108"/>
      <c r="G818" s="113"/>
      <c r="H818" s="114"/>
    </row>
    <row r="819" ht="17.25" customHeight="1">
      <c r="A819" s="102"/>
      <c r="B819" s="105" t="b">
        <v>0</v>
      </c>
      <c r="C819" s="107"/>
      <c r="D819" s="108"/>
      <c r="E819" s="108"/>
      <c r="F819" s="108"/>
      <c r="G819" s="113"/>
      <c r="H819" s="114"/>
    </row>
    <row r="820" ht="17.25" customHeight="1">
      <c r="A820" s="102"/>
      <c r="B820" s="105" t="b">
        <v>0</v>
      </c>
      <c r="C820" s="107"/>
      <c r="D820" s="108"/>
      <c r="E820" s="108"/>
      <c r="F820" s="108"/>
      <c r="G820" s="113"/>
      <c r="H820" s="114"/>
    </row>
    <row r="821" ht="17.25" customHeight="1">
      <c r="A821" s="102"/>
      <c r="B821" s="105" t="b">
        <v>0</v>
      </c>
      <c r="C821" s="107"/>
      <c r="D821" s="108"/>
      <c r="E821" s="108"/>
      <c r="F821" s="108"/>
      <c r="G821" s="113"/>
      <c r="H821" s="114"/>
    </row>
    <row r="822" ht="17.25" customHeight="1">
      <c r="A822" s="102"/>
      <c r="B822" s="105" t="b">
        <v>0</v>
      </c>
      <c r="C822" s="107"/>
      <c r="D822" s="108"/>
      <c r="E822" s="108"/>
      <c r="F822" s="108"/>
      <c r="G822" s="113"/>
      <c r="H822" s="114"/>
    </row>
    <row r="823" ht="17.25" customHeight="1">
      <c r="A823" s="102"/>
      <c r="B823" s="105" t="b">
        <v>0</v>
      </c>
      <c r="C823" s="107"/>
      <c r="D823" s="108"/>
      <c r="E823" s="108"/>
      <c r="F823" s="108"/>
      <c r="G823" s="113"/>
      <c r="H823" s="114"/>
    </row>
    <row r="824" ht="17.25" customHeight="1">
      <c r="A824" s="102"/>
      <c r="B824" s="105" t="b">
        <v>0</v>
      </c>
      <c r="C824" s="107"/>
      <c r="D824" s="108"/>
      <c r="E824" s="108"/>
      <c r="F824" s="108"/>
      <c r="G824" s="113"/>
      <c r="H824" s="114"/>
    </row>
    <row r="825" ht="17.25" customHeight="1">
      <c r="A825" s="102"/>
      <c r="B825" s="105" t="b">
        <v>0</v>
      </c>
      <c r="C825" s="107"/>
      <c r="D825" s="108"/>
      <c r="E825" s="108"/>
      <c r="F825" s="108"/>
      <c r="G825" s="113"/>
      <c r="H825" s="114"/>
    </row>
    <row r="826" ht="17.25" customHeight="1">
      <c r="A826" s="102"/>
      <c r="B826" s="105" t="b">
        <v>0</v>
      </c>
      <c r="C826" s="107"/>
      <c r="D826" s="108"/>
      <c r="E826" s="108"/>
      <c r="F826" s="108"/>
      <c r="G826" s="113"/>
      <c r="H826" s="114"/>
    </row>
    <row r="827" ht="17.25" customHeight="1">
      <c r="A827" s="102"/>
      <c r="B827" s="105" t="b">
        <v>0</v>
      </c>
      <c r="C827" s="107"/>
      <c r="D827" s="108"/>
      <c r="E827" s="108"/>
      <c r="F827" s="108"/>
      <c r="G827" s="113"/>
      <c r="H827" s="114"/>
    </row>
    <row r="828" ht="17.25" customHeight="1">
      <c r="A828" s="102"/>
      <c r="B828" s="105" t="b">
        <v>0</v>
      </c>
      <c r="C828" s="107"/>
      <c r="D828" s="108"/>
      <c r="E828" s="108"/>
      <c r="F828" s="108"/>
      <c r="G828" s="113"/>
      <c r="H828" s="114"/>
    </row>
    <row r="829" ht="17.25" customHeight="1">
      <c r="A829" s="102"/>
      <c r="B829" s="105" t="b">
        <v>0</v>
      </c>
      <c r="C829" s="107"/>
      <c r="D829" s="108"/>
      <c r="E829" s="108"/>
      <c r="F829" s="108"/>
      <c r="G829" s="113"/>
      <c r="H829" s="114"/>
    </row>
    <row r="830" ht="17.25" customHeight="1">
      <c r="A830" s="102"/>
      <c r="B830" s="105" t="b">
        <v>0</v>
      </c>
      <c r="C830" s="107"/>
      <c r="D830" s="108"/>
      <c r="E830" s="108"/>
      <c r="F830" s="108"/>
      <c r="G830" s="113"/>
      <c r="H830" s="114"/>
    </row>
    <row r="831" ht="17.25" customHeight="1">
      <c r="A831" s="102"/>
      <c r="B831" s="105" t="b">
        <v>0</v>
      </c>
      <c r="C831" s="107"/>
      <c r="D831" s="108"/>
      <c r="E831" s="108"/>
      <c r="F831" s="108"/>
      <c r="G831" s="113"/>
      <c r="H831" s="114"/>
    </row>
    <row r="832" ht="17.25" customHeight="1">
      <c r="A832" s="102"/>
      <c r="B832" s="105" t="b">
        <v>0</v>
      </c>
      <c r="C832" s="107"/>
      <c r="D832" s="108"/>
      <c r="E832" s="108"/>
      <c r="F832" s="108"/>
      <c r="G832" s="113"/>
      <c r="H832" s="114"/>
    </row>
    <row r="833" ht="17.25" customHeight="1">
      <c r="A833" s="102"/>
      <c r="B833" s="105" t="b">
        <v>0</v>
      </c>
      <c r="C833" s="107"/>
      <c r="D833" s="108"/>
      <c r="E833" s="108"/>
      <c r="F833" s="108"/>
      <c r="G833" s="113"/>
      <c r="H833" s="114"/>
    </row>
    <row r="834" ht="17.25" customHeight="1">
      <c r="A834" s="102"/>
      <c r="B834" s="105" t="b">
        <v>0</v>
      </c>
      <c r="C834" s="107"/>
      <c r="D834" s="108"/>
      <c r="E834" s="108"/>
      <c r="F834" s="108"/>
      <c r="G834" s="113"/>
      <c r="H834" s="114"/>
    </row>
    <row r="835" ht="17.25" customHeight="1">
      <c r="A835" s="102"/>
      <c r="B835" s="105" t="b">
        <v>0</v>
      </c>
      <c r="C835" s="107"/>
      <c r="D835" s="108"/>
      <c r="E835" s="108"/>
      <c r="F835" s="108"/>
      <c r="G835" s="113"/>
      <c r="H835" s="114"/>
    </row>
    <row r="836" ht="17.25" customHeight="1">
      <c r="A836" s="102"/>
      <c r="B836" s="105" t="b">
        <v>0</v>
      </c>
      <c r="C836" s="107"/>
      <c r="D836" s="108"/>
      <c r="E836" s="108"/>
      <c r="F836" s="108"/>
      <c r="G836" s="113"/>
      <c r="H836" s="114"/>
    </row>
    <row r="837" ht="17.25" customHeight="1">
      <c r="A837" s="102"/>
      <c r="B837" s="105" t="b">
        <v>0</v>
      </c>
      <c r="C837" s="107"/>
      <c r="D837" s="108"/>
      <c r="E837" s="108"/>
      <c r="F837" s="108"/>
      <c r="G837" s="113"/>
      <c r="H837" s="114"/>
    </row>
    <row r="838" ht="17.25" customHeight="1">
      <c r="A838" s="102"/>
      <c r="B838" s="105" t="b">
        <v>0</v>
      </c>
      <c r="C838" s="107"/>
      <c r="D838" s="108"/>
      <c r="E838" s="108"/>
      <c r="F838" s="108"/>
      <c r="G838" s="113"/>
      <c r="H838" s="114"/>
    </row>
    <row r="839" ht="17.25" customHeight="1">
      <c r="A839" s="102"/>
      <c r="B839" s="105" t="b">
        <v>0</v>
      </c>
      <c r="C839" s="107"/>
      <c r="D839" s="108"/>
      <c r="E839" s="108"/>
      <c r="F839" s="108"/>
      <c r="G839" s="113"/>
      <c r="H839" s="114"/>
    </row>
    <row r="840" ht="17.25" customHeight="1">
      <c r="A840" s="102"/>
      <c r="B840" s="105" t="b">
        <v>0</v>
      </c>
      <c r="C840" s="107"/>
      <c r="D840" s="108"/>
      <c r="E840" s="108"/>
      <c r="F840" s="108"/>
      <c r="G840" s="113"/>
      <c r="H840" s="114"/>
    </row>
    <row r="841" ht="17.25" customHeight="1">
      <c r="A841" s="102"/>
      <c r="B841" s="105" t="b">
        <v>0</v>
      </c>
      <c r="C841" s="107"/>
      <c r="D841" s="108"/>
      <c r="E841" s="108"/>
      <c r="F841" s="108"/>
      <c r="G841" s="113"/>
      <c r="H841" s="114"/>
    </row>
    <row r="842" ht="17.25" customHeight="1">
      <c r="A842" s="102"/>
      <c r="B842" s="105" t="b">
        <v>0</v>
      </c>
      <c r="C842" s="107"/>
      <c r="D842" s="108"/>
      <c r="E842" s="108"/>
      <c r="F842" s="108"/>
      <c r="G842" s="113"/>
      <c r="H842" s="114"/>
    </row>
    <row r="843" ht="17.25" customHeight="1">
      <c r="A843" s="102"/>
      <c r="B843" s="105" t="b">
        <v>0</v>
      </c>
      <c r="C843" s="107"/>
      <c r="D843" s="108"/>
      <c r="E843" s="108"/>
      <c r="F843" s="108"/>
      <c r="G843" s="113"/>
      <c r="H843" s="114"/>
    </row>
    <row r="844" ht="17.25" customHeight="1">
      <c r="A844" s="102"/>
      <c r="B844" s="105" t="b">
        <v>0</v>
      </c>
      <c r="C844" s="107"/>
      <c r="D844" s="108"/>
      <c r="E844" s="108"/>
      <c r="F844" s="108"/>
      <c r="G844" s="113"/>
      <c r="H844" s="114"/>
    </row>
    <row r="845" ht="17.25" customHeight="1">
      <c r="A845" s="102"/>
      <c r="B845" s="105" t="b">
        <v>0</v>
      </c>
      <c r="C845" s="107"/>
      <c r="D845" s="108"/>
      <c r="E845" s="108"/>
      <c r="F845" s="108"/>
      <c r="G845" s="113"/>
      <c r="H845" s="114"/>
    </row>
    <row r="846" ht="17.25" customHeight="1">
      <c r="A846" s="102"/>
      <c r="B846" s="105" t="b">
        <v>0</v>
      </c>
      <c r="C846" s="107"/>
      <c r="D846" s="108"/>
      <c r="E846" s="108"/>
      <c r="F846" s="108"/>
      <c r="G846" s="113"/>
      <c r="H846" s="114"/>
    </row>
    <row r="847" ht="17.25" customHeight="1">
      <c r="A847" s="102"/>
      <c r="B847" s="105" t="b">
        <v>0</v>
      </c>
      <c r="C847" s="107"/>
      <c r="D847" s="108"/>
      <c r="E847" s="108"/>
      <c r="F847" s="108"/>
      <c r="G847" s="113"/>
      <c r="H847" s="114"/>
    </row>
    <row r="848" ht="17.25" customHeight="1">
      <c r="A848" s="102"/>
      <c r="B848" s="105" t="b">
        <v>0</v>
      </c>
      <c r="C848" s="107"/>
      <c r="D848" s="108"/>
      <c r="E848" s="108"/>
      <c r="F848" s="108"/>
      <c r="G848" s="113"/>
      <c r="H848" s="114"/>
    </row>
    <row r="849" ht="17.25" customHeight="1">
      <c r="A849" s="102"/>
      <c r="B849" s="105" t="b">
        <v>0</v>
      </c>
      <c r="C849" s="107"/>
      <c r="D849" s="108"/>
      <c r="E849" s="108"/>
      <c r="F849" s="108"/>
      <c r="G849" s="113"/>
      <c r="H849" s="114"/>
    </row>
    <row r="850" ht="17.25" customHeight="1">
      <c r="A850" s="102"/>
      <c r="B850" s="105" t="b">
        <v>0</v>
      </c>
      <c r="C850" s="107"/>
      <c r="D850" s="108"/>
      <c r="E850" s="108"/>
      <c r="F850" s="108"/>
      <c r="G850" s="113"/>
      <c r="H850" s="114"/>
    </row>
    <row r="851" ht="17.25" customHeight="1">
      <c r="A851" s="102"/>
      <c r="B851" s="105" t="b">
        <v>0</v>
      </c>
      <c r="C851" s="107"/>
      <c r="D851" s="108"/>
      <c r="E851" s="108"/>
      <c r="F851" s="108"/>
      <c r="G851" s="113"/>
      <c r="H851" s="114"/>
    </row>
    <row r="852" ht="17.25" customHeight="1">
      <c r="A852" s="102"/>
      <c r="B852" s="105" t="b">
        <v>0</v>
      </c>
      <c r="C852" s="107"/>
      <c r="D852" s="108"/>
      <c r="E852" s="108"/>
      <c r="F852" s="108"/>
      <c r="G852" s="113"/>
      <c r="H852" s="114"/>
    </row>
    <row r="853" ht="17.25" customHeight="1">
      <c r="A853" s="102"/>
      <c r="B853" s="105" t="b">
        <v>0</v>
      </c>
      <c r="C853" s="107"/>
      <c r="D853" s="108"/>
      <c r="E853" s="108"/>
      <c r="F853" s="108"/>
      <c r="G853" s="113"/>
      <c r="H853" s="114"/>
    </row>
    <row r="854" ht="17.25" customHeight="1">
      <c r="A854" s="102"/>
      <c r="B854" s="105" t="b">
        <v>0</v>
      </c>
      <c r="C854" s="107"/>
      <c r="D854" s="108"/>
      <c r="E854" s="108"/>
      <c r="F854" s="108"/>
      <c r="G854" s="113"/>
      <c r="H854" s="114"/>
    </row>
    <row r="855" ht="17.25" customHeight="1">
      <c r="A855" s="102"/>
      <c r="B855" s="105" t="b">
        <v>0</v>
      </c>
      <c r="C855" s="107"/>
      <c r="D855" s="108"/>
      <c r="E855" s="108"/>
      <c r="F855" s="108"/>
      <c r="G855" s="113"/>
      <c r="H855" s="114"/>
    </row>
    <row r="856" ht="17.25" customHeight="1">
      <c r="A856" s="102"/>
      <c r="B856" s="105" t="b">
        <v>0</v>
      </c>
      <c r="C856" s="107"/>
      <c r="D856" s="108"/>
      <c r="E856" s="108"/>
      <c r="F856" s="108"/>
      <c r="G856" s="113"/>
      <c r="H856" s="114"/>
    </row>
    <row r="857" ht="17.25" customHeight="1">
      <c r="A857" s="102"/>
      <c r="B857" s="105" t="b">
        <v>0</v>
      </c>
      <c r="C857" s="107"/>
      <c r="D857" s="108"/>
      <c r="E857" s="108"/>
      <c r="F857" s="108"/>
      <c r="G857" s="113"/>
      <c r="H857" s="114"/>
    </row>
    <row r="858" ht="17.25" customHeight="1">
      <c r="A858" s="102"/>
      <c r="B858" s="105" t="b">
        <v>0</v>
      </c>
      <c r="C858" s="107"/>
      <c r="D858" s="108"/>
      <c r="E858" s="108"/>
      <c r="F858" s="108"/>
      <c r="G858" s="113"/>
      <c r="H858" s="114"/>
    </row>
    <row r="859" ht="17.25" customHeight="1">
      <c r="A859" s="102"/>
      <c r="B859" s="105" t="b">
        <v>0</v>
      </c>
      <c r="C859" s="107"/>
      <c r="D859" s="108"/>
      <c r="E859" s="108"/>
      <c r="F859" s="108"/>
      <c r="G859" s="113"/>
      <c r="H859" s="114"/>
    </row>
    <row r="860" ht="17.25" customHeight="1">
      <c r="A860" s="102"/>
      <c r="B860" s="105" t="b">
        <v>0</v>
      </c>
      <c r="C860" s="107"/>
      <c r="D860" s="108"/>
      <c r="E860" s="108"/>
      <c r="F860" s="108"/>
      <c r="G860" s="113"/>
      <c r="H860" s="114"/>
    </row>
    <row r="861" ht="17.25" customHeight="1">
      <c r="A861" s="102"/>
      <c r="B861" s="105" t="b">
        <v>0</v>
      </c>
      <c r="C861" s="107"/>
      <c r="D861" s="108"/>
      <c r="E861" s="108"/>
      <c r="F861" s="108"/>
      <c r="G861" s="113"/>
      <c r="H861" s="114"/>
    </row>
    <row r="862" ht="17.25" customHeight="1">
      <c r="A862" s="102"/>
      <c r="B862" s="105" t="b">
        <v>0</v>
      </c>
      <c r="C862" s="107"/>
      <c r="D862" s="108"/>
      <c r="E862" s="108"/>
      <c r="F862" s="108"/>
      <c r="G862" s="113"/>
      <c r="H862" s="114"/>
    </row>
    <row r="863" ht="17.25" customHeight="1">
      <c r="A863" s="102"/>
      <c r="B863" s="105" t="b">
        <v>0</v>
      </c>
      <c r="C863" s="107"/>
      <c r="D863" s="108"/>
      <c r="E863" s="108"/>
      <c r="F863" s="108"/>
      <c r="G863" s="113"/>
      <c r="H863" s="114"/>
    </row>
    <row r="864" ht="17.25" customHeight="1">
      <c r="A864" s="102"/>
      <c r="B864" s="105" t="b">
        <v>0</v>
      </c>
      <c r="C864" s="107"/>
      <c r="D864" s="108"/>
      <c r="E864" s="108"/>
      <c r="F864" s="108"/>
      <c r="G864" s="113"/>
      <c r="H864" s="114"/>
    </row>
    <row r="865" ht="17.25" customHeight="1">
      <c r="A865" s="102"/>
      <c r="B865" s="105" t="b">
        <v>0</v>
      </c>
      <c r="C865" s="107"/>
      <c r="D865" s="108"/>
      <c r="E865" s="108"/>
      <c r="F865" s="108"/>
      <c r="G865" s="113"/>
      <c r="H865" s="114"/>
    </row>
    <row r="866" ht="17.25" customHeight="1">
      <c r="A866" s="102"/>
      <c r="B866" s="105" t="b">
        <v>0</v>
      </c>
      <c r="C866" s="107"/>
      <c r="D866" s="108"/>
      <c r="E866" s="108"/>
      <c r="F866" s="108"/>
      <c r="G866" s="113"/>
      <c r="H866" s="114"/>
    </row>
    <row r="867" ht="17.25" customHeight="1">
      <c r="A867" s="102"/>
      <c r="B867" s="105" t="b">
        <v>0</v>
      </c>
      <c r="C867" s="107"/>
      <c r="D867" s="108"/>
      <c r="E867" s="108"/>
      <c r="F867" s="108"/>
      <c r="G867" s="113"/>
      <c r="H867" s="114"/>
    </row>
    <row r="868" ht="17.25" customHeight="1">
      <c r="A868" s="102"/>
      <c r="B868" s="105" t="b">
        <v>0</v>
      </c>
      <c r="C868" s="107"/>
      <c r="D868" s="108"/>
      <c r="E868" s="108"/>
      <c r="F868" s="108"/>
      <c r="G868" s="113"/>
      <c r="H868" s="114"/>
    </row>
    <row r="869" ht="17.25" customHeight="1">
      <c r="A869" s="102"/>
      <c r="B869" s="105" t="b">
        <v>0</v>
      </c>
      <c r="C869" s="107"/>
      <c r="D869" s="108"/>
      <c r="E869" s="108"/>
      <c r="F869" s="108"/>
      <c r="G869" s="113"/>
      <c r="H869" s="114"/>
    </row>
    <row r="870" ht="17.25" customHeight="1">
      <c r="A870" s="102"/>
      <c r="B870" s="105" t="b">
        <v>0</v>
      </c>
      <c r="C870" s="107"/>
      <c r="D870" s="108"/>
      <c r="E870" s="108"/>
      <c r="F870" s="108"/>
      <c r="G870" s="113"/>
      <c r="H870" s="114"/>
    </row>
    <row r="871" ht="17.25" customHeight="1">
      <c r="A871" s="102"/>
      <c r="B871" s="105" t="b">
        <v>0</v>
      </c>
      <c r="C871" s="107"/>
      <c r="D871" s="108"/>
      <c r="E871" s="108"/>
      <c r="F871" s="108"/>
      <c r="G871" s="113"/>
      <c r="H871" s="114"/>
    </row>
    <row r="872" ht="17.25" customHeight="1">
      <c r="A872" s="102"/>
      <c r="B872" s="105" t="b">
        <v>0</v>
      </c>
      <c r="C872" s="107"/>
      <c r="D872" s="108"/>
      <c r="E872" s="108"/>
      <c r="F872" s="108"/>
      <c r="G872" s="113"/>
      <c r="H872" s="114"/>
    </row>
    <row r="873" ht="17.25" customHeight="1">
      <c r="A873" s="102"/>
      <c r="B873" s="105" t="b">
        <v>0</v>
      </c>
      <c r="C873" s="107"/>
      <c r="D873" s="108"/>
      <c r="E873" s="108"/>
      <c r="F873" s="108"/>
      <c r="G873" s="113"/>
      <c r="H873" s="114"/>
    </row>
    <row r="874" ht="17.25" customHeight="1">
      <c r="A874" s="102"/>
      <c r="B874" s="105" t="b">
        <v>0</v>
      </c>
      <c r="C874" s="107"/>
      <c r="D874" s="108"/>
      <c r="E874" s="108"/>
      <c r="F874" s="108"/>
      <c r="G874" s="113"/>
      <c r="H874" s="114"/>
    </row>
    <row r="875" ht="17.25" customHeight="1">
      <c r="A875" s="102"/>
      <c r="B875" s="105" t="b">
        <v>0</v>
      </c>
      <c r="C875" s="107"/>
      <c r="D875" s="108"/>
      <c r="E875" s="108"/>
      <c r="F875" s="108"/>
      <c r="G875" s="113"/>
      <c r="H875" s="114"/>
    </row>
    <row r="876" ht="17.25" customHeight="1">
      <c r="A876" s="102"/>
      <c r="B876" s="105" t="b">
        <v>0</v>
      </c>
      <c r="C876" s="107"/>
      <c r="D876" s="108"/>
      <c r="E876" s="108"/>
      <c r="F876" s="108"/>
      <c r="G876" s="113"/>
      <c r="H876" s="114"/>
    </row>
    <row r="877" ht="17.25" customHeight="1">
      <c r="A877" s="102"/>
      <c r="B877" s="105" t="b">
        <v>0</v>
      </c>
      <c r="C877" s="107"/>
      <c r="D877" s="108"/>
      <c r="E877" s="108"/>
      <c r="F877" s="108"/>
      <c r="G877" s="113"/>
      <c r="H877" s="114"/>
    </row>
    <row r="878" ht="17.25" customHeight="1">
      <c r="A878" s="102"/>
      <c r="B878" s="105" t="b">
        <v>0</v>
      </c>
      <c r="C878" s="107"/>
      <c r="D878" s="108"/>
      <c r="E878" s="108"/>
      <c r="F878" s="108"/>
      <c r="G878" s="113"/>
      <c r="H878" s="114"/>
    </row>
    <row r="879" ht="17.25" customHeight="1">
      <c r="A879" s="102"/>
      <c r="B879" s="105" t="b">
        <v>0</v>
      </c>
      <c r="C879" s="107"/>
      <c r="D879" s="108"/>
      <c r="E879" s="108"/>
      <c r="F879" s="108"/>
      <c r="G879" s="113"/>
      <c r="H879" s="114"/>
    </row>
    <row r="880" ht="17.25" customHeight="1">
      <c r="A880" s="102"/>
      <c r="B880" s="105" t="b">
        <v>0</v>
      </c>
      <c r="C880" s="107"/>
      <c r="D880" s="108"/>
      <c r="E880" s="108"/>
      <c r="F880" s="108"/>
      <c r="G880" s="113"/>
      <c r="H880" s="114"/>
    </row>
    <row r="881" ht="17.25" customHeight="1">
      <c r="A881" s="102"/>
      <c r="B881" s="105" t="b">
        <v>0</v>
      </c>
      <c r="C881" s="107"/>
      <c r="D881" s="108"/>
      <c r="E881" s="108"/>
      <c r="F881" s="108"/>
      <c r="G881" s="113"/>
      <c r="H881" s="114"/>
    </row>
    <row r="882" ht="17.25" customHeight="1">
      <c r="A882" s="102"/>
      <c r="B882" s="105" t="b">
        <v>0</v>
      </c>
      <c r="C882" s="107"/>
      <c r="D882" s="108"/>
      <c r="E882" s="108"/>
      <c r="F882" s="108"/>
      <c r="G882" s="113"/>
      <c r="H882" s="114"/>
    </row>
    <row r="883" ht="17.25" customHeight="1">
      <c r="A883" s="102"/>
      <c r="B883" s="105" t="b">
        <v>0</v>
      </c>
      <c r="C883" s="107"/>
      <c r="D883" s="108"/>
      <c r="E883" s="108"/>
      <c r="F883" s="108"/>
      <c r="G883" s="113"/>
      <c r="H883" s="114"/>
    </row>
    <row r="884" ht="17.25" customHeight="1">
      <c r="A884" s="102"/>
      <c r="B884" s="105" t="b">
        <v>0</v>
      </c>
      <c r="C884" s="107"/>
      <c r="D884" s="108"/>
      <c r="E884" s="108"/>
      <c r="F884" s="108"/>
      <c r="G884" s="113"/>
      <c r="H884" s="114"/>
    </row>
    <row r="885" ht="17.25" customHeight="1">
      <c r="A885" s="102"/>
      <c r="B885" s="105" t="b">
        <v>0</v>
      </c>
      <c r="C885" s="107"/>
      <c r="D885" s="108"/>
      <c r="E885" s="108"/>
      <c r="F885" s="108"/>
      <c r="G885" s="113"/>
      <c r="H885" s="114"/>
    </row>
    <row r="886" ht="17.25" customHeight="1">
      <c r="A886" s="102"/>
      <c r="B886" s="105" t="b">
        <v>0</v>
      </c>
      <c r="C886" s="107"/>
      <c r="D886" s="108"/>
      <c r="E886" s="108"/>
      <c r="F886" s="108"/>
      <c r="G886" s="113"/>
      <c r="H886" s="114"/>
    </row>
    <row r="887" ht="17.25" customHeight="1">
      <c r="A887" s="102"/>
      <c r="B887" s="105" t="b">
        <v>0</v>
      </c>
      <c r="C887" s="107"/>
      <c r="D887" s="108"/>
      <c r="E887" s="108"/>
      <c r="F887" s="108"/>
      <c r="G887" s="113"/>
      <c r="H887" s="114"/>
    </row>
    <row r="888" ht="17.25" customHeight="1">
      <c r="A888" s="102"/>
      <c r="B888" s="105" t="b">
        <v>0</v>
      </c>
      <c r="C888" s="107"/>
      <c r="D888" s="108"/>
      <c r="E888" s="108"/>
      <c r="F888" s="108"/>
      <c r="G888" s="113"/>
      <c r="H888" s="114"/>
    </row>
    <row r="889" ht="17.25" customHeight="1">
      <c r="A889" s="102"/>
      <c r="B889" s="105" t="b">
        <v>0</v>
      </c>
      <c r="C889" s="107"/>
      <c r="D889" s="108"/>
      <c r="E889" s="108"/>
      <c r="F889" s="108"/>
      <c r="G889" s="113"/>
      <c r="H889" s="114"/>
    </row>
    <row r="890" ht="17.25" customHeight="1">
      <c r="A890" s="102"/>
      <c r="B890" s="105" t="b">
        <v>0</v>
      </c>
      <c r="C890" s="107"/>
      <c r="D890" s="108"/>
      <c r="E890" s="108"/>
      <c r="F890" s="108"/>
      <c r="G890" s="113"/>
      <c r="H890" s="114"/>
    </row>
    <row r="891" ht="17.25" customHeight="1">
      <c r="A891" s="102"/>
      <c r="B891" s="105" t="b">
        <v>0</v>
      </c>
      <c r="C891" s="107"/>
      <c r="D891" s="108"/>
      <c r="E891" s="108"/>
      <c r="F891" s="108"/>
      <c r="G891" s="113"/>
      <c r="H891" s="114"/>
    </row>
    <row r="892" ht="17.25" customHeight="1">
      <c r="A892" s="102"/>
      <c r="B892" s="105" t="b">
        <v>0</v>
      </c>
      <c r="C892" s="107"/>
      <c r="D892" s="108"/>
      <c r="E892" s="108"/>
      <c r="F892" s="108"/>
      <c r="G892" s="113"/>
      <c r="H892" s="114"/>
    </row>
    <row r="893" ht="17.25" customHeight="1">
      <c r="A893" s="102"/>
      <c r="B893" s="105" t="b">
        <v>0</v>
      </c>
      <c r="C893" s="107"/>
      <c r="D893" s="108"/>
      <c r="E893" s="108"/>
      <c r="F893" s="108"/>
      <c r="G893" s="113"/>
      <c r="H893" s="114"/>
    </row>
    <row r="894" ht="17.25" customHeight="1">
      <c r="A894" s="102"/>
      <c r="B894" s="105" t="b">
        <v>0</v>
      </c>
      <c r="C894" s="107"/>
      <c r="D894" s="108"/>
      <c r="E894" s="108"/>
      <c r="F894" s="108"/>
      <c r="G894" s="113"/>
      <c r="H894" s="114"/>
    </row>
    <row r="895" ht="17.25" customHeight="1">
      <c r="A895" s="102"/>
      <c r="B895" s="105" t="b">
        <v>0</v>
      </c>
      <c r="C895" s="107"/>
      <c r="D895" s="108"/>
      <c r="E895" s="108"/>
      <c r="F895" s="108"/>
      <c r="G895" s="113"/>
      <c r="H895" s="114"/>
    </row>
    <row r="896" ht="17.25" customHeight="1">
      <c r="A896" s="102"/>
      <c r="B896" s="105" t="b">
        <v>0</v>
      </c>
      <c r="C896" s="107"/>
      <c r="D896" s="108"/>
      <c r="E896" s="108"/>
      <c r="F896" s="108"/>
      <c r="G896" s="113"/>
      <c r="H896" s="114"/>
    </row>
    <row r="897" ht="17.25" customHeight="1">
      <c r="A897" s="102"/>
      <c r="B897" s="105" t="b">
        <v>0</v>
      </c>
      <c r="C897" s="107"/>
      <c r="D897" s="108"/>
      <c r="E897" s="108"/>
      <c r="F897" s="108"/>
      <c r="G897" s="113"/>
      <c r="H897" s="114"/>
    </row>
    <row r="898" ht="17.25" customHeight="1">
      <c r="A898" s="102"/>
      <c r="B898" s="105" t="b">
        <v>0</v>
      </c>
      <c r="C898" s="107"/>
      <c r="D898" s="108"/>
      <c r="E898" s="108"/>
      <c r="F898" s="108"/>
      <c r="G898" s="113"/>
      <c r="H898" s="114"/>
    </row>
    <row r="899" ht="17.25" customHeight="1">
      <c r="A899" s="102"/>
      <c r="B899" s="105" t="b">
        <v>0</v>
      </c>
      <c r="C899" s="107"/>
      <c r="D899" s="108"/>
      <c r="E899" s="108"/>
      <c r="F899" s="108"/>
      <c r="G899" s="113"/>
      <c r="H899" s="114"/>
    </row>
    <row r="900" ht="17.25" customHeight="1">
      <c r="A900" s="102"/>
      <c r="B900" s="105" t="b">
        <v>0</v>
      </c>
      <c r="C900" s="107"/>
      <c r="D900" s="108"/>
      <c r="E900" s="108"/>
      <c r="F900" s="108"/>
      <c r="G900" s="113"/>
      <c r="H900" s="114"/>
    </row>
    <row r="901" ht="17.25" customHeight="1">
      <c r="A901" s="102"/>
      <c r="B901" s="105" t="b">
        <v>0</v>
      </c>
      <c r="C901" s="107"/>
      <c r="D901" s="108"/>
      <c r="E901" s="108"/>
      <c r="F901" s="108"/>
      <c r="G901" s="113"/>
      <c r="H901" s="114"/>
    </row>
    <row r="902" ht="17.25" customHeight="1">
      <c r="A902" s="102"/>
      <c r="B902" s="105" t="b">
        <v>0</v>
      </c>
      <c r="C902" s="107"/>
      <c r="D902" s="108"/>
      <c r="E902" s="108"/>
      <c r="F902" s="108"/>
      <c r="G902" s="113"/>
      <c r="H902" s="114"/>
    </row>
    <row r="903" ht="17.25" customHeight="1">
      <c r="A903" s="102"/>
      <c r="B903" s="105" t="b">
        <v>0</v>
      </c>
      <c r="C903" s="107"/>
      <c r="D903" s="108"/>
      <c r="E903" s="108"/>
      <c r="F903" s="108"/>
      <c r="G903" s="113"/>
      <c r="H903" s="114"/>
    </row>
    <row r="904" ht="17.25" customHeight="1">
      <c r="A904" s="102"/>
      <c r="B904" s="105" t="b">
        <v>0</v>
      </c>
      <c r="C904" s="107"/>
      <c r="D904" s="108"/>
      <c r="E904" s="108"/>
      <c r="F904" s="108"/>
      <c r="G904" s="113"/>
      <c r="H904" s="114"/>
    </row>
    <row r="905" ht="17.25" customHeight="1">
      <c r="A905" s="102"/>
      <c r="B905" s="105" t="b">
        <v>0</v>
      </c>
      <c r="C905" s="107"/>
      <c r="D905" s="108"/>
      <c r="E905" s="108"/>
      <c r="F905" s="108"/>
      <c r="G905" s="113"/>
      <c r="H905" s="114"/>
    </row>
    <row r="906" ht="17.25" customHeight="1">
      <c r="A906" s="102"/>
      <c r="B906" s="105" t="b">
        <v>0</v>
      </c>
      <c r="C906" s="107"/>
      <c r="D906" s="108"/>
      <c r="E906" s="108"/>
      <c r="F906" s="108"/>
      <c r="G906" s="113"/>
      <c r="H906" s="114"/>
    </row>
    <row r="907" ht="17.25" customHeight="1">
      <c r="A907" s="102"/>
      <c r="B907" s="105" t="b">
        <v>0</v>
      </c>
      <c r="C907" s="107"/>
      <c r="D907" s="108"/>
      <c r="E907" s="108"/>
      <c r="F907" s="108"/>
      <c r="G907" s="113"/>
      <c r="H907" s="114"/>
    </row>
    <row r="908" ht="17.25" customHeight="1">
      <c r="A908" s="102"/>
      <c r="B908" s="105" t="b">
        <v>0</v>
      </c>
      <c r="C908" s="107"/>
      <c r="D908" s="108"/>
      <c r="E908" s="108"/>
      <c r="F908" s="108"/>
      <c r="G908" s="113"/>
      <c r="H908" s="114"/>
    </row>
    <row r="909" ht="17.25" customHeight="1">
      <c r="A909" s="102"/>
      <c r="B909" s="105" t="b">
        <v>0</v>
      </c>
      <c r="C909" s="107"/>
      <c r="D909" s="108"/>
      <c r="E909" s="108"/>
      <c r="F909" s="108"/>
      <c r="G909" s="113"/>
      <c r="H909" s="114"/>
    </row>
    <row r="910" ht="17.25" customHeight="1">
      <c r="A910" s="102"/>
      <c r="B910" s="105" t="b">
        <v>0</v>
      </c>
      <c r="C910" s="107"/>
      <c r="D910" s="108"/>
      <c r="E910" s="108"/>
      <c r="F910" s="108"/>
      <c r="G910" s="113"/>
      <c r="H910" s="114"/>
    </row>
    <row r="911" ht="17.25" customHeight="1">
      <c r="A911" s="102"/>
      <c r="B911" s="105" t="b">
        <v>0</v>
      </c>
      <c r="C911" s="107"/>
      <c r="D911" s="108"/>
      <c r="E911" s="108"/>
      <c r="F911" s="108"/>
      <c r="G911" s="113"/>
      <c r="H911" s="114"/>
    </row>
    <row r="912" ht="17.25" customHeight="1">
      <c r="A912" s="102"/>
      <c r="B912" s="105" t="b">
        <v>0</v>
      </c>
      <c r="C912" s="107"/>
      <c r="D912" s="108"/>
      <c r="E912" s="108"/>
      <c r="F912" s="108"/>
      <c r="G912" s="113"/>
      <c r="H912" s="114"/>
    </row>
    <row r="913" ht="17.25" customHeight="1">
      <c r="A913" s="102"/>
      <c r="B913" s="105" t="b">
        <v>0</v>
      </c>
      <c r="C913" s="107"/>
      <c r="D913" s="108"/>
      <c r="E913" s="108"/>
      <c r="F913" s="108"/>
      <c r="G913" s="113"/>
      <c r="H913" s="114"/>
    </row>
    <row r="914" ht="17.25" customHeight="1">
      <c r="A914" s="102"/>
      <c r="B914" s="105" t="b">
        <v>0</v>
      </c>
      <c r="C914" s="107"/>
      <c r="D914" s="108"/>
      <c r="E914" s="108"/>
      <c r="F914" s="108"/>
      <c r="G914" s="113"/>
      <c r="H914" s="114"/>
    </row>
    <row r="915" ht="17.25" customHeight="1">
      <c r="A915" s="102"/>
      <c r="B915" s="105" t="b">
        <v>0</v>
      </c>
      <c r="C915" s="107"/>
      <c r="D915" s="108"/>
      <c r="E915" s="108"/>
      <c r="F915" s="108"/>
      <c r="G915" s="113"/>
      <c r="H915" s="114"/>
    </row>
    <row r="916" ht="17.25" customHeight="1">
      <c r="A916" s="102"/>
      <c r="B916" s="105" t="b">
        <v>0</v>
      </c>
      <c r="C916" s="107"/>
      <c r="D916" s="108"/>
      <c r="E916" s="108"/>
      <c r="F916" s="108"/>
      <c r="G916" s="113"/>
      <c r="H916" s="114"/>
    </row>
    <row r="917" ht="17.25" customHeight="1">
      <c r="A917" s="102"/>
      <c r="B917" s="105" t="b">
        <v>0</v>
      </c>
      <c r="C917" s="107"/>
      <c r="D917" s="108"/>
      <c r="E917" s="108"/>
      <c r="F917" s="108"/>
      <c r="G917" s="113"/>
      <c r="H917" s="114"/>
    </row>
    <row r="918" ht="17.25" customHeight="1">
      <c r="A918" s="102"/>
      <c r="B918" s="105" t="b">
        <v>0</v>
      </c>
      <c r="C918" s="107"/>
      <c r="D918" s="108"/>
      <c r="E918" s="108"/>
      <c r="F918" s="108"/>
      <c r="G918" s="113"/>
      <c r="H918" s="114"/>
    </row>
    <row r="919" ht="17.25" customHeight="1">
      <c r="A919" s="102"/>
      <c r="B919" s="105" t="b">
        <v>0</v>
      </c>
      <c r="C919" s="107"/>
      <c r="D919" s="108"/>
      <c r="E919" s="108"/>
      <c r="F919" s="108"/>
      <c r="G919" s="113"/>
      <c r="H919" s="114"/>
    </row>
    <row r="920" ht="17.25" customHeight="1">
      <c r="A920" s="102"/>
      <c r="B920" s="105" t="b">
        <v>0</v>
      </c>
      <c r="C920" s="107"/>
      <c r="D920" s="108"/>
      <c r="E920" s="108"/>
      <c r="F920" s="108"/>
      <c r="G920" s="113"/>
      <c r="H920" s="114"/>
    </row>
    <row r="921" ht="17.25" customHeight="1">
      <c r="A921" s="102"/>
      <c r="B921" s="105" t="b">
        <v>0</v>
      </c>
      <c r="C921" s="107"/>
      <c r="D921" s="108"/>
      <c r="E921" s="108"/>
      <c r="F921" s="108"/>
      <c r="G921" s="113"/>
      <c r="H921" s="114"/>
    </row>
    <row r="922" ht="17.25" customHeight="1">
      <c r="A922" s="102"/>
      <c r="B922" s="105" t="b">
        <v>0</v>
      </c>
      <c r="C922" s="107"/>
      <c r="D922" s="108"/>
      <c r="E922" s="108"/>
      <c r="F922" s="108"/>
      <c r="G922" s="113"/>
      <c r="H922" s="114"/>
    </row>
    <row r="923" ht="17.25" customHeight="1">
      <c r="A923" s="102"/>
      <c r="B923" s="105" t="b">
        <v>0</v>
      </c>
      <c r="C923" s="107"/>
      <c r="D923" s="108"/>
      <c r="E923" s="108"/>
      <c r="F923" s="108"/>
      <c r="G923" s="113"/>
      <c r="H923" s="114"/>
    </row>
    <row r="924" ht="17.25" customHeight="1">
      <c r="A924" s="102"/>
      <c r="B924" s="105" t="b">
        <v>0</v>
      </c>
      <c r="C924" s="107"/>
      <c r="D924" s="108"/>
      <c r="E924" s="108"/>
      <c r="F924" s="108"/>
      <c r="G924" s="113"/>
      <c r="H924" s="114"/>
    </row>
    <row r="925" ht="17.25" customHeight="1">
      <c r="A925" s="102"/>
      <c r="B925" s="105" t="b">
        <v>0</v>
      </c>
      <c r="C925" s="107"/>
      <c r="D925" s="108"/>
      <c r="E925" s="108"/>
      <c r="F925" s="108"/>
      <c r="G925" s="113"/>
      <c r="H925" s="114"/>
    </row>
    <row r="926" ht="17.25" customHeight="1">
      <c r="A926" s="102"/>
      <c r="B926" s="105" t="b">
        <v>0</v>
      </c>
      <c r="C926" s="107"/>
      <c r="D926" s="108"/>
      <c r="E926" s="108"/>
      <c r="F926" s="108"/>
      <c r="G926" s="113"/>
      <c r="H926" s="114"/>
    </row>
    <row r="927" ht="17.25" customHeight="1">
      <c r="A927" s="102"/>
      <c r="B927" s="105" t="b">
        <v>0</v>
      </c>
      <c r="C927" s="107"/>
      <c r="D927" s="108"/>
      <c r="E927" s="108"/>
      <c r="F927" s="108"/>
      <c r="G927" s="113"/>
      <c r="H927" s="114"/>
    </row>
    <row r="928" ht="17.25" customHeight="1">
      <c r="A928" s="102"/>
      <c r="B928" s="105" t="b">
        <v>0</v>
      </c>
      <c r="C928" s="107"/>
      <c r="D928" s="108"/>
      <c r="E928" s="108"/>
      <c r="F928" s="108"/>
      <c r="G928" s="113"/>
      <c r="H928" s="114"/>
    </row>
    <row r="929" ht="17.25" customHeight="1">
      <c r="A929" s="102"/>
      <c r="B929" s="105" t="b">
        <v>0</v>
      </c>
      <c r="C929" s="107"/>
      <c r="D929" s="108"/>
      <c r="E929" s="108"/>
      <c r="F929" s="108"/>
      <c r="G929" s="113"/>
      <c r="H929" s="114"/>
    </row>
    <row r="930" ht="17.25" customHeight="1">
      <c r="A930" s="102"/>
      <c r="B930" s="105" t="b">
        <v>0</v>
      </c>
      <c r="C930" s="107"/>
      <c r="D930" s="108"/>
      <c r="E930" s="108"/>
      <c r="F930" s="108"/>
      <c r="G930" s="113"/>
      <c r="H930" s="114"/>
    </row>
    <row r="931" ht="17.25" customHeight="1">
      <c r="A931" s="102"/>
      <c r="B931" s="105" t="b">
        <v>0</v>
      </c>
      <c r="C931" s="107"/>
      <c r="D931" s="108"/>
      <c r="E931" s="108"/>
      <c r="F931" s="108"/>
      <c r="G931" s="113"/>
      <c r="H931" s="114"/>
    </row>
    <row r="932" ht="17.25" customHeight="1">
      <c r="A932" s="102"/>
      <c r="B932" s="105" t="b">
        <v>0</v>
      </c>
      <c r="C932" s="107"/>
      <c r="D932" s="108"/>
      <c r="E932" s="108"/>
      <c r="F932" s="108"/>
      <c r="G932" s="113"/>
      <c r="H932" s="114"/>
    </row>
    <row r="933" ht="17.25" customHeight="1">
      <c r="A933" s="102"/>
      <c r="B933" s="105" t="b">
        <v>0</v>
      </c>
      <c r="C933" s="107"/>
      <c r="D933" s="108"/>
      <c r="E933" s="108"/>
      <c r="F933" s="108"/>
      <c r="G933" s="113"/>
      <c r="H933" s="114"/>
    </row>
    <row r="934" ht="17.25" customHeight="1">
      <c r="A934" s="102"/>
      <c r="B934" s="105" t="b">
        <v>0</v>
      </c>
      <c r="C934" s="107"/>
      <c r="D934" s="108"/>
      <c r="E934" s="108"/>
      <c r="F934" s="108"/>
      <c r="G934" s="113"/>
      <c r="H934" s="114"/>
    </row>
    <row r="935" ht="17.25" customHeight="1">
      <c r="A935" s="102"/>
      <c r="B935" s="105" t="b">
        <v>0</v>
      </c>
      <c r="C935" s="107"/>
      <c r="D935" s="108"/>
      <c r="E935" s="108"/>
      <c r="F935" s="108"/>
      <c r="G935" s="113"/>
      <c r="H935" s="114"/>
    </row>
    <row r="936" ht="17.25" customHeight="1">
      <c r="A936" s="102"/>
      <c r="B936" s="105" t="b">
        <v>0</v>
      </c>
      <c r="C936" s="107"/>
      <c r="D936" s="108"/>
      <c r="E936" s="108"/>
      <c r="F936" s="108"/>
      <c r="G936" s="113"/>
      <c r="H936" s="114"/>
    </row>
    <row r="937" ht="17.25" customHeight="1">
      <c r="A937" s="102"/>
      <c r="B937" s="105" t="b">
        <v>0</v>
      </c>
      <c r="C937" s="107"/>
      <c r="D937" s="108"/>
      <c r="E937" s="108"/>
      <c r="F937" s="108"/>
      <c r="G937" s="113"/>
      <c r="H937" s="114"/>
    </row>
    <row r="938" ht="17.25" customHeight="1">
      <c r="A938" s="102"/>
      <c r="B938" s="105" t="b">
        <v>0</v>
      </c>
      <c r="C938" s="107"/>
      <c r="D938" s="108"/>
      <c r="E938" s="108"/>
      <c r="F938" s="108"/>
      <c r="G938" s="113"/>
      <c r="H938" s="114"/>
    </row>
    <row r="939" ht="17.25" customHeight="1">
      <c r="A939" s="102"/>
      <c r="B939" s="105" t="b">
        <v>0</v>
      </c>
      <c r="C939" s="107"/>
      <c r="D939" s="108"/>
      <c r="E939" s="108"/>
      <c r="F939" s="108"/>
      <c r="G939" s="113"/>
      <c r="H939" s="114"/>
    </row>
    <row r="940" ht="17.25" customHeight="1">
      <c r="A940" s="102"/>
      <c r="B940" s="105" t="b">
        <v>0</v>
      </c>
      <c r="C940" s="107"/>
      <c r="D940" s="108"/>
      <c r="E940" s="108"/>
      <c r="F940" s="108"/>
      <c r="G940" s="113"/>
      <c r="H940" s="114"/>
    </row>
    <row r="941" ht="17.25" customHeight="1">
      <c r="A941" s="102"/>
      <c r="B941" s="105" t="b">
        <v>0</v>
      </c>
      <c r="C941" s="107"/>
      <c r="D941" s="108"/>
      <c r="E941" s="108"/>
      <c r="F941" s="108"/>
      <c r="G941" s="113"/>
      <c r="H941" s="114"/>
    </row>
    <row r="942" ht="17.25" customHeight="1">
      <c r="A942" s="102"/>
      <c r="B942" s="105" t="b">
        <v>0</v>
      </c>
      <c r="C942" s="107"/>
      <c r="D942" s="108"/>
      <c r="E942" s="108"/>
      <c r="F942" s="108"/>
      <c r="G942" s="113"/>
      <c r="H942" s="114"/>
    </row>
    <row r="943" ht="17.25" customHeight="1">
      <c r="A943" s="102"/>
      <c r="B943" s="105" t="b">
        <v>0</v>
      </c>
      <c r="C943" s="107"/>
      <c r="D943" s="108"/>
      <c r="E943" s="108"/>
      <c r="F943" s="108"/>
      <c r="G943" s="113"/>
      <c r="H943" s="114"/>
    </row>
    <row r="944" ht="17.25" customHeight="1">
      <c r="A944" s="102"/>
      <c r="B944" s="105" t="b">
        <v>0</v>
      </c>
      <c r="C944" s="107"/>
      <c r="D944" s="108"/>
      <c r="E944" s="108"/>
      <c r="F944" s="108"/>
      <c r="G944" s="113"/>
      <c r="H944" s="114"/>
    </row>
    <row r="945" ht="17.25" customHeight="1">
      <c r="A945" s="102"/>
      <c r="B945" s="105" t="b">
        <v>0</v>
      </c>
      <c r="C945" s="107"/>
      <c r="D945" s="108"/>
      <c r="E945" s="108"/>
      <c r="F945" s="108"/>
      <c r="G945" s="113"/>
      <c r="H945" s="114"/>
    </row>
    <row r="946" ht="17.25" customHeight="1">
      <c r="A946" s="102"/>
      <c r="B946" s="105" t="b">
        <v>0</v>
      </c>
      <c r="C946" s="107"/>
      <c r="D946" s="108"/>
      <c r="E946" s="108"/>
      <c r="F946" s="108"/>
      <c r="G946" s="113"/>
      <c r="H946" s="114"/>
    </row>
    <row r="947" ht="17.25" customHeight="1">
      <c r="A947" s="102"/>
      <c r="B947" s="105" t="b">
        <v>0</v>
      </c>
      <c r="C947" s="107"/>
      <c r="D947" s="108"/>
      <c r="E947" s="108"/>
      <c r="F947" s="108"/>
      <c r="G947" s="113"/>
      <c r="H947" s="114"/>
    </row>
    <row r="948" ht="17.25" customHeight="1">
      <c r="A948" s="102"/>
      <c r="B948" s="105" t="b">
        <v>0</v>
      </c>
      <c r="C948" s="107"/>
      <c r="D948" s="108"/>
      <c r="E948" s="108"/>
      <c r="F948" s="108"/>
      <c r="G948" s="113"/>
      <c r="H948" s="114"/>
    </row>
    <row r="949" ht="17.25" customHeight="1">
      <c r="A949" s="102"/>
      <c r="B949" s="105" t="b">
        <v>0</v>
      </c>
      <c r="C949" s="107"/>
      <c r="D949" s="108"/>
      <c r="E949" s="108"/>
      <c r="F949" s="108"/>
      <c r="G949" s="113"/>
      <c r="H949" s="114"/>
    </row>
    <row r="950" ht="17.25" customHeight="1">
      <c r="A950" s="102"/>
      <c r="B950" s="105" t="b">
        <v>0</v>
      </c>
      <c r="C950" s="107"/>
      <c r="D950" s="108"/>
      <c r="E950" s="108"/>
      <c r="F950" s="108"/>
      <c r="G950" s="113"/>
      <c r="H950" s="114"/>
    </row>
    <row r="951" ht="17.25" customHeight="1">
      <c r="A951" s="102"/>
      <c r="B951" s="105" t="b">
        <v>0</v>
      </c>
      <c r="C951" s="107"/>
      <c r="D951" s="108"/>
      <c r="E951" s="108"/>
      <c r="F951" s="108"/>
      <c r="G951" s="113"/>
      <c r="H951" s="114"/>
    </row>
    <row r="952" ht="17.25" customHeight="1">
      <c r="A952" s="102"/>
      <c r="B952" s="105" t="b">
        <v>0</v>
      </c>
      <c r="C952" s="107"/>
      <c r="D952" s="108"/>
      <c r="E952" s="108"/>
      <c r="F952" s="108"/>
      <c r="G952" s="113"/>
      <c r="H952" s="114"/>
    </row>
    <row r="953" ht="17.25" customHeight="1">
      <c r="A953" s="102"/>
      <c r="B953" s="105" t="b">
        <v>0</v>
      </c>
      <c r="C953" s="107"/>
      <c r="D953" s="108"/>
      <c r="E953" s="108"/>
      <c r="F953" s="108"/>
      <c r="G953" s="113"/>
      <c r="H953" s="114"/>
    </row>
    <row r="954" ht="17.25" customHeight="1">
      <c r="A954" s="102"/>
      <c r="B954" s="105" t="b">
        <v>0</v>
      </c>
      <c r="C954" s="107"/>
      <c r="D954" s="108"/>
      <c r="E954" s="108"/>
      <c r="F954" s="108"/>
      <c r="G954" s="113"/>
      <c r="H954" s="114"/>
    </row>
    <row r="955" ht="17.25" customHeight="1">
      <c r="A955" s="102"/>
      <c r="B955" s="105" t="b">
        <v>0</v>
      </c>
      <c r="C955" s="107"/>
      <c r="D955" s="108"/>
      <c r="E955" s="108"/>
      <c r="F955" s="108"/>
      <c r="G955" s="113"/>
      <c r="H955" s="114"/>
    </row>
    <row r="956" ht="17.25" customHeight="1">
      <c r="A956" s="102"/>
      <c r="B956" s="105" t="b">
        <v>0</v>
      </c>
      <c r="C956" s="107"/>
      <c r="D956" s="108"/>
      <c r="E956" s="108"/>
      <c r="F956" s="108"/>
      <c r="G956" s="113"/>
      <c r="H956" s="114"/>
    </row>
    <row r="957" ht="17.25" customHeight="1">
      <c r="A957" s="102"/>
      <c r="B957" s="105" t="b">
        <v>0</v>
      </c>
      <c r="C957" s="107"/>
      <c r="D957" s="108"/>
      <c r="E957" s="108"/>
      <c r="F957" s="108"/>
      <c r="G957" s="113"/>
      <c r="H957" s="114"/>
    </row>
    <row r="958" ht="17.25" customHeight="1">
      <c r="A958" s="102"/>
      <c r="B958" s="105" t="b">
        <v>0</v>
      </c>
      <c r="C958" s="107"/>
      <c r="D958" s="108"/>
      <c r="E958" s="108"/>
      <c r="F958" s="108"/>
      <c r="G958" s="113"/>
      <c r="H958" s="114"/>
    </row>
    <row r="959" ht="17.25" customHeight="1">
      <c r="A959" s="102"/>
      <c r="B959" s="105" t="b">
        <v>0</v>
      </c>
      <c r="C959" s="107"/>
      <c r="D959" s="108"/>
      <c r="E959" s="108"/>
      <c r="F959" s="108"/>
      <c r="G959" s="113"/>
      <c r="H959" s="114"/>
    </row>
    <row r="960" ht="17.25" customHeight="1">
      <c r="A960" s="102"/>
      <c r="B960" s="105" t="b">
        <v>0</v>
      </c>
      <c r="C960" s="107"/>
      <c r="D960" s="108"/>
      <c r="E960" s="108"/>
      <c r="F960" s="108"/>
      <c r="G960" s="113"/>
      <c r="H960" s="114"/>
    </row>
    <row r="961" ht="17.25" customHeight="1">
      <c r="A961" s="102"/>
      <c r="B961" s="105" t="b">
        <v>0</v>
      </c>
      <c r="C961" s="107"/>
      <c r="D961" s="108"/>
      <c r="E961" s="108"/>
      <c r="F961" s="108"/>
      <c r="G961" s="113"/>
      <c r="H961" s="114"/>
    </row>
    <row r="962" ht="17.25" customHeight="1">
      <c r="A962" s="102"/>
      <c r="B962" s="105" t="b">
        <v>0</v>
      </c>
      <c r="C962" s="107"/>
      <c r="D962" s="108"/>
      <c r="E962" s="108"/>
      <c r="F962" s="108"/>
      <c r="G962" s="113"/>
      <c r="H962" s="114"/>
    </row>
    <row r="963" ht="17.25" customHeight="1">
      <c r="A963" s="102"/>
      <c r="B963" s="105" t="b">
        <v>0</v>
      </c>
      <c r="C963" s="107"/>
      <c r="D963" s="108"/>
      <c r="E963" s="108"/>
      <c r="F963" s="108"/>
      <c r="G963" s="113"/>
      <c r="H963" s="114"/>
    </row>
    <row r="964" ht="17.25" customHeight="1">
      <c r="A964" s="102"/>
      <c r="B964" s="105" t="b">
        <v>0</v>
      </c>
      <c r="C964" s="107"/>
      <c r="D964" s="108"/>
      <c r="E964" s="108"/>
      <c r="F964" s="108"/>
      <c r="G964" s="113"/>
      <c r="H964" s="114"/>
    </row>
    <row r="965" ht="17.25" customHeight="1">
      <c r="A965" s="102"/>
      <c r="B965" s="105" t="b">
        <v>0</v>
      </c>
      <c r="C965" s="107"/>
      <c r="D965" s="108"/>
      <c r="E965" s="108"/>
      <c r="F965" s="108"/>
      <c r="G965" s="113"/>
      <c r="H965" s="114"/>
    </row>
    <row r="966" ht="17.25" customHeight="1">
      <c r="A966" s="102"/>
      <c r="B966" s="105" t="b">
        <v>0</v>
      </c>
      <c r="C966" s="107"/>
      <c r="D966" s="108"/>
      <c r="E966" s="108"/>
      <c r="F966" s="108"/>
      <c r="G966" s="113"/>
      <c r="H966" s="114"/>
    </row>
    <row r="967" ht="17.25" customHeight="1">
      <c r="A967" s="102"/>
      <c r="B967" s="105" t="b">
        <v>0</v>
      </c>
      <c r="C967" s="107"/>
      <c r="D967" s="108"/>
      <c r="E967" s="108"/>
      <c r="F967" s="108"/>
      <c r="G967" s="113"/>
      <c r="H967" s="114"/>
    </row>
    <row r="968" ht="17.25" customHeight="1">
      <c r="A968" s="102"/>
      <c r="B968" s="105" t="b">
        <v>0</v>
      </c>
      <c r="C968" s="107"/>
      <c r="D968" s="108"/>
      <c r="E968" s="108"/>
      <c r="F968" s="108"/>
      <c r="G968" s="113"/>
      <c r="H968" s="114"/>
    </row>
    <row r="969" ht="17.25" customHeight="1">
      <c r="A969" s="102"/>
      <c r="B969" s="105" t="b">
        <v>0</v>
      </c>
      <c r="C969" s="107"/>
      <c r="D969" s="108"/>
      <c r="E969" s="108"/>
      <c r="F969" s="108"/>
      <c r="G969" s="113"/>
      <c r="H969" s="114"/>
    </row>
    <row r="970" ht="17.25" customHeight="1">
      <c r="A970" s="102"/>
      <c r="B970" s="105" t="b">
        <v>0</v>
      </c>
      <c r="C970" s="107"/>
      <c r="D970" s="108"/>
      <c r="E970" s="108"/>
      <c r="F970" s="108"/>
      <c r="G970" s="113"/>
      <c r="H970" s="114"/>
    </row>
    <row r="971" ht="17.25" customHeight="1">
      <c r="A971" s="102"/>
      <c r="B971" s="105" t="b">
        <v>0</v>
      </c>
      <c r="C971" s="107"/>
      <c r="D971" s="108"/>
      <c r="E971" s="108"/>
      <c r="F971" s="108"/>
      <c r="G971" s="113"/>
      <c r="H971" s="114"/>
    </row>
    <row r="972" ht="17.25" customHeight="1">
      <c r="A972" s="102"/>
      <c r="B972" s="105" t="b">
        <v>0</v>
      </c>
      <c r="C972" s="107"/>
      <c r="D972" s="108"/>
      <c r="E972" s="108"/>
      <c r="F972" s="108"/>
      <c r="G972" s="113"/>
      <c r="H972" s="114"/>
    </row>
    <row r="973" ht="17.25" customHeight="1">
      <c r="A973" s="102"/>
      <c r="B973" s="105" t="b">
        <v>0</v>
      </c>
      <c r="C973" s="107"/>
      <c r="D973" s="108"/>
      <c r="E973" s="108"/>
      <c r="F973" s="108"/>
      <c r="G973" s="113"/>
      <c r="H973" s="114"/>
    </row>
    <row r="974" ht="17.25" customHeight="1">
      <c r="A974" s="102"/>
      <c r="B974" s="105" t="b">
        <v>0</v>
      </c>
      <c r="C974" s="107"/>
      <c r="D974" s="108"/>
      <c r="E974" s="108"/>
      <c r="F974" s="108"/>
      <c r="G974" s="113"/>
      <c r="H974" s="114"/>
    </row>
    <row r="975" ht="17.25" customHeight="1">
      <c r="A975" s="102"/>
      <c r="B975" s="105" t="b">
        <v>0</v>
      </c>
      <c r="C975" s="107"/>
      <c r="D975" s="108"/>
      <c r="E975" s="108"/>
      <c r="F975" s="108"/>
      <c r="G975" s="113"/>
      <c r="H975" s="114"/>
    </row>
    <row r="976" ht="17.25" customHeight="1">
      <c r="A976" s="102"/>
      <c r="B976" s="105" t="b">
        <v>0</v>
      </c>
      <c r="C976" s="107"/>
      <c r="D976" s="108"/>
      <c r="E976" s="108"/>
      <c r="F976" s="108"/>
      <c r="G976" s="113"/>
      <c r="H976" s="114"/>
    </row>
    <row r="977" ht="17.25" customHeight="1">
      <c r="A977" s="102"/>
      <c r="B977" s="105" t="b">
        <v>0</v>
      </c>
      <c r="C977" s="107"/>
      <c r="D977" s="108"/>
      <c r="E977" s="108"/>
      <c r="F977" s="108"/>
      <c r="G977" s="113"/>
      <c r="H977" s="114"/>
    </row>
    <row r="978" ht="17.25" customHeight="1">
      <c r="A978" s="102"/>
      <c r="B978" s="105" t="b">
        <v>0</v>
      </c>
      <c r="C978" s="107"/>
      <c r="D978" s="108"/>
      <c r="E978" s="108"/>
      <c r="F978" s="108"/>
      <c r="G978" s="113"/>
      <c r="H978" s="114"/>
    </row>
    <row r="979" ht="17.25" customHeight="1">
      <c r="A979" s="102"/>
      <c r="B979" s="105" t="b">
        <v>0</v>
      </c>
      <c r="C979" s="107"/>
      <c r="D979" s="108"/>
      <c r="E979" s="108"/>
      <c r="F979" s="108"/>
      <c r="G979" s="113"/>
      <c r="H979" s="114"/>
    </row>
    <row r="980" ht="17.25" customHeight="1">
      <c r="A980" s="102"/>
      <c r="B980" s="105" t="b">
        <v>0</v>
      </c>
      <c r="C980" s="107"/>
      <c r="D980" s="108"/>
      <c r="E980" s="108"/>
      <c r="F980" s="108"/>
      <c r="G980" s="113"/>
      <c r="H980" s="114"/>
    </row>
    <row r="981" ht="17.25" customHeight="1">
      <c r="A981" s="102"/>
      <c r="B981" s="105" t="b">
        <v>0</v>
      </c>
      <c r="C981" s="107"/>
      <c r="D981" s="108"/>
      <c r="E981" s="110"/>
      <c r="F981" s="108"/>
      <c r="G981" s="113"/>
      <c r="H981" s="114"/>
    </row>
    <row r="982" ht="16.5" customHeight="1">
      <c r="A982" s="62"/>
      <c r="B982" s="62"/>
      <c r="C982" s="328"/>
      <c r="D982" s="329"/>
      <c r="E982" s="329"/>
      <c r="F982" s="329"/>
      <c r="G982" s="330"/>
      <c r="H982" s="62"/>
    </row>
    <row r="983" ht="16.5" customHeight="1">
      <c r="A983" s="331"/>
      <c r="B983" s="331"/>
      <c r="C983" s="333"/>
      <c r="D983" s="335"/>
      <c r="E983" s="335"/>
      <c r="F983" s="335"/>
      <c r="G983" s="337"/>
      <c r="H983" s="331"/>
    </row>
  </sheetData>
  <customSheetViews>
    <customSheetView guid="{53BA1EB3-0CF0-4210-815D-FA06C24F5881}" filter="1" showAutoFilter="1">
      <autoFilter ref="$B$6:$G$981"/>
    </customSheetView>
  </customSheetViews>
  <mergeCells count="66">
    <mergeCell ref="D533:E533"/>
    <mergeCell ref="D534:E534"/>
    <mergeCell ref="D535:E535"/>
    <mergeCell ref="D536:E536"/>
    <mergeCell ref="D537:E537"/>
    <mergeCell ref="D538:E538"/>
    <mergeCell ref="D539:E539"/>
    <mergeCell ref="D547:E547"/>
    <mergeCell ref="D548:E548"/>
    <mergeCell ref="D981:E981"/>
    <mergeCell ref="D540:E540"/>
    <mergeCell ref="D541:E541"/>
    <mergeCell ref="D542:E542"/>
    <mergeCell ref="D543:E543"/>
    <mergeCell ref="D544:E544"/>
    <mergeCell ref="D545:E545"/>
    <mergeCell ref="D546:E546"/>
    <mergeCell ref="B2:G2"/>
    <mergeCell ref="D6:E6"/>
    <mergeCell ref="D8:E8"/>
    <mergeCell ref="D9:E9"/>
    <mergeCell ref="D10:E10"/>
    <mergeCell ref="D11:E11"/>
    <mergeCell ref="D12:E12"/>
    <mergeCell ref="D13:E13"/>
    <mergeCell ref="D14:E14"/>
    <mergeCell ref="D15:E15"/>
    <mergeCell ref="D16:E16"/>
    <mergeCell ref="D17:E17"/>
    <mergeCell ref="D18:E18"/>
    <mergeCell ref="D20:E20"/>
    <mergeCell ref="D21:E21"/>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519:E519"/>
    <mergeCell ref="D520:E520"/>
    <mergeCell ref="D521:E521"/>
    <mergeCell ref="D522:E522"/>
    <mergeCell ref="D523:E523"/>
    <mergeCell ref="D524:E524"/>
    <mergeCell ref="D525:E525"/>
    <mergeCell ref="D526:E526"/>
    <mergeCell ref="D527:E527"/>
    <mergeCell ref="D528:E528"/>
    <mergeCell ref="D529:E529"/>
    <mergeCell ref="D530:E530"/>
    <mergeCell ref="D531:E531"/>
    <mergeCell ref="D532:E532"/>
  </mergeCells>
  <conditionalFormatting sqref="C8:G981">
    <cfRule type="expression" dxfId="11" priority="1" stopIfTrue="1">
      <formula>$B8=TRUE</formula>
    </cfRule>
  </conditionalFormatting>
  <conditionalFormatting sqref="F8:F981">
    <cfRule type="cellIs" dxfId="12" priority="2" stopIfTrue="1" operator="equal">
      <formula>"Savings"</formula>
    </cfRule>
  </conditionalFormatting>
  <conditionalFormatting sqref="F8:F981">
    <cfRule type="cellIs" dxfId="13" priority="3" stopIfTrue="1" operator="equal">
      <formula>"Needs"</formula>
    </cfRule>
  </conditionalFormatting>
  <conditionalFormatting sqref="F8:F981">
    <cfRule type="cellIs" dxfId="14" priority="4" stopIfTrue="1" operator="equal">
      <formula>"Wants"</formula>
    </cfRule>
  </conditionalFormatting>
  <conditionalFormatting sqref="C4 G4">
    <cfRule type="expression" dxfId="12" priority="5" stopIfTrue="1">
      <formula>C4=44372.0</formula>
    </cfRule>
  </conditionalFormatting>
  <conditionalFormatting sqref="B1:B983">
    <cfRule type="cellIs" dxfId="15" priority="6" stopIfTrue="1" operator="equal">
      <formula>"TRUE"</formula>
    </cfRule>
  </conditionalFormatting>
  <dataValidations>
    <dataValidation type="list" allowBlank="1" showErrorMessage="1" sqref="F8:F981">
      <formula1>Budgeting!$B$23:$B$42</formula1>
    </dataValidation>
    <dataValidation type="custom" allowBlank="1" showDropDown="1" showInputMessage="1" prompt="Enter a valid date" sqref="C8:C981">
      <formula1>OR(NOT(ISERROR(DATEVALUE(C8))), AND(ISNUMBER(C8), LEFT(CELL("format", C8))="D"))</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6C8BC"/>
    <outlinePr summaryBelow="0" summaryRight="0"/>
  </sheetPr>
  <sheetViews>
    <sheetView showGridLines="0" workbookViewId="0"/>
  </sheetViews>
  <sheetFormatPr customHeight="1" defaultColWidth="12.63" defaultRowHeight="15.75"/>
  <cols>
    <col customWidth="1" min="1" max="1" width="2.0"/>
    <col customWidth="1" min="2" max="2" width="17.88"/>
    <col customWidth="1" min="3" max="3" width="17.5"/>
    <col customWidth="1" min="4" max="4" width="20.25"/>
    <col customWidth="1" min="5" max="5" width="25.13"/>
    <col customWidth="1" min="6" max="6" width="11.63"/>
    <col customWidth="1" min="7" max="7" width="20.38"/>
    <col customWidth="1" min="8" max="11" width="7.25"/>
    <col customWidth="1" min="12" max="12" width="14.5"/>
    <col customWidth="1" min="13" max="13" width="2.0"/>
  </cols>
  <sheetData>
    <row r="1" ht="11.25" customHeight="1">
      <c r="A1" s="142"/>
      <c r="B1" s="142"/>
      <c r="C1" s="142"/>
      <c r="D1" s="142"/>
      <c r="E1" s="142"/>
      <c r="F1" s="143"/>
      <c r="G1" s="142"/>
      <c r="H1" s="142"/>
      <c r="I1" s="142"/>
      <c r="J1" s="142"/>
      <c r="K1" s="142"/>
      <c r="L1" s="142"/>
      <c r="M1" s="142"/>
    </row>
    <row r="2" ht="41.25" customHeight="1">
      <c r="A2" s="142"/>
      <c r="B2" s="144" t="s">
        <v>69</v>
      </c>
      <c r="C2" s="145"/>
      <c r="D2" s="145"/>
      <c r="E2" s="145"/>
      <c r="F2" s="145"/>
      <c r="G2" s="145"/>
      <c r="H2" s="145"/>
      <c r="I2" s="145"/>
      <c r="J2" s="145"/>
      <c r="K2" s="145"/>
      <c r="L2" s="145"/>
      <c r="M2" s="142"/>
    </row>
    <row r="3" ht="18.75" customHeight="1">
      <c r="A3" s="142"/>
      <c r="B3" s="146"/>
      <c r="C3" s="146"/>
      <c r="D3" s="146"/>
      <c r="E3" s="146"/>
      <c r="F3" s="147"/>
      <c r="G3" s="148"/>
      <c r="H3" s="148"/>
      <c r="I3" s="148"/>
      <c r="J3" s="148"/>
      <c r="K3" s="148"/>
      <c r="L3" s="148"/>
      <c r="M3" s="142"/>
    </row>
    <row r="4" ht="11.25" customHeight="1">
      <c r="A4" s="149"/>
      <c r="D4" s="150"/>
      <c r="E4" s="151"/>
      <c r="F4" s="151"/>
      <c r="G4" s="152"/>
      <c r="H4" s="142"/>
      <c r="I4" s="153"/>
      <c r="J4" s="1"/>
      <c r="K4" s="1"/>
      <c r="L4" s="148"/>
      <c r="M4" s="149"/>
    </row>
    <row r="5" ht="18.75" customHeight="1">
      <c r="A5" s="154"/>
      <c r="D5" s="155" t="s">
        <v>70</v>
      </c>
      <c r="E5" s="156" t="s">
        <v>71</v>
      </c>
      <c r="G5" s="157" t="s">
        <v>72</v>
      </c>
      <c r="H5" s="142"/>
      <c r="K5" s="1"/>
      <c r="L5" s="148"/>
      <c r="M5" s="154"/>
    </row>
    <row r="6" ht="18.75" customHeight="1">
      <c r="A6" s="1"/>
      <c r="D6" s="158">
        <v>45292.0</v>
      </c>
      <c r="E6" s="159">
        <v>1.5E9</v>
      </c>
      <c r="G6" s="160">
        <f>D8/E6</f>
        <v>0.2237166667</v>
      </c>
      <c r="H6" s="142"/>
      <c r="K6" s="1"/>
      <c r="L6" s="148"/>
      <c r="M6" s="1"/>
    </row>
    <row r="7" ht="15.0" customHeight="1">
      <c r="A7" s="1"/>
      <c r="D7" s="161"/>
      <c r="E7" s="162"/>
      <c r="F7" s="162"/>
      <c r="G7" s="163"/>
      <c r="H7" s="142"/>
      <c r="K7" s="1"/>
      <c r="L7" s="148"/>
      <c r="M7" s="164"/>
    </row>
    <row r="8" ht="41.25" customHeight="1">
      <c r="A8" s="154"/>
      <c r="D8" s="165">
        <f>sum(D21:D30)+sum(J21:K30)</f>
        <v>335575000</v>
      </c>
      <c r="G8" s="166"/>
      <c r="H8" s="142"/>
      <c r="K8" s="1"/>
      <c r="L8" s="167"/>
      <c r="M8" s="168"/>
    </row>
    <row r="9" ht="37.5" customHeight="1">
      <c r="A9" s="154"/>
      <c r="D9" s="169"/>
      <c r="E9" s="170"/>
      <c r="F9" s="170"/>
      <c r="G9" s="171"/>
      <c r="H9" s="142"/>
      <c r="K9" s="1"/>
      <c r="L9" s="148"/>
      <c r="M9" s="168"/>
    </row>
    <row r="10" ht="15.0" customHeight="1">
      <c r="A10" s="154"/>
      <c r="D10" s="172" t="s">
        <v>73</v>
      </c>
      <c r="G10" s="166"/>
      <c r="H10" s="173"/>
      <c r="J10" s="174"/>
      <c r="L10" s="148"/>
      <c r="M10" s="175"/>
    </row>
    <row r="11" ht="18.75" customHeight="1">
      <c r="A11" s="1"/>
      <c r="D11" s="176"/>
      <c r="E11" s="162"/>
      <c r="F11" s="162"/>
      <c r="G11" s="163"/>
      <c r="H11" s="177"/>
      <c r="J11" s="46"/>
      <c r="L11" s="148"/>
      <c r="M11" s="1"/>
    </row>
    <row r="12" ht="15.0" customHeight="1">
      <c r="A12" s="1"/>
      <c r="B12" s="178"/>
      <c r="C12" s="179"/>
      <c r="D12" s="180"/>
      <c r="E12" s="181"/>
      <c r="F12" s="182"/>
      <c r="G12" s="148"/>
      <c r="H12" s="177"/>
      <c r="J12" s="46"/>
      <c r="L12" s="148"/>
      <c r="M12" s="1"/>
    </row>
    <row r="13" ht="15.0" customHeight="1">
      <c r="A13" s="1"/>
      <c r="B13" s="43"/>
      <c r="C13" s="43"/>
      <c r="D13" s="43"/>
      <c r="E13" s="1"/>
      <c r="F13" s="183"/>
      <c r="G13" s="149"/>
      <c r="H13" s="1"/>
      <c r="I13" s="1"/>
      <c r="J13" s="184"/>
      <c r="K13" s="184"/>
      <c r="L13" s="1"/>
      <c r="M13" s="1"/>
    </row>
    <row r="14" ht="15.0" customHeight="1">
      <c r="A14" s="1"/>
      <c r="B14" s="43"/>
      <c r="C14" s="43"/>
      <c r="D14" s="43"/>
      <c r="E14" s="1"/>
      <c r="F14" s="183"/>
      <c r="G14" s="149"/>
      <c r="H14" s="1"/>
      <c r="I14" s="1"/>
      <c r="J14" s="184"/>
      <c r="K14" s="184"/>
      <c r="L14" s="1"/>
      <c r="M14" s="1"/>
    </row>
    <row r="15" ht="18.0" customHeight="1">
      <c r="A15" s="185"/>
      <c r="B15" s="186" t="s">
        <v>74</v>
      </c>
      <c r="F15" s="187"/>
      <c r="G15" s="186" t="s">
        <v>75</v>
      </c>
      <c r="H15" s="188"/>
      <c r="I15" s="188"/>
      <c r="J15" s="189"/>
      <c r="K15" s="184"/>
      <c r="L15" s="185"/>
      <c r="M15" s="185"/>
    </row>
    <row r="16" ht="18.75" customHeight="1">
      <c r="A16" s="114"/>
      <c r="B16" s="190" t="str">
        <f>'⚙️Setup'!G3</f>
        <v>Account 1</v>
      </c>
      <c r="C16" s="191" t="str">
        <f>'⚙️Setup'!G4</f>
        <v>Account 2</v>
      </c>
      <c r="D16" s="192" t="str">
        <f>'⚙️Setup'!G5</f>
        <v>Account 3</v>
      </c>
      <c r="E16" s="193" t="str">
        <f>'⚙️Setup'!G6</f>
        <v>Account 4</v>
      </c>
      <c r="F16" s="194"/>
      <c r="G16" s="195" t="str">
        <f>'⚙️Setup'!G7</f>
        <v>Saldo BPJS</v>
      </c>
      <c r="H16" s="196" t="str">
        <f>'⚙️Setup'!G8</f>
        <v>Saham</v>
      </c>
      <c r="I16" s="197"/>
      <c r="J16" s="198" t="str">
        <f>'⚙️Setup'!G9</f>
        <v>Obligasi</v>
      </c>
      <c r="K16" s="197"/>
      <c r="L16" s="199" t="str">
        <f>'⚙️Setup'!G10</f>
        <v>Reksa Dana</v>
      </c>
      <c r="M16" s="114"/>
    </row>
    <row r="17" ht="22.5" customHeight="1">
      <c r="A17" s="154"/>
      <c r="B17" s="200">
        <f t="shared" ref="B17:E17" si="1">SUMPRODUCT($D$21:$D$30*($E$21:$E$30=B16)) + SUMPRODUCT($J$21:$J$30*($L$21:$L$30=B16))
</f>
        <v>6593000</v>
      </c>
      <c r="C17" s="200">
        <f t="shared" si="1"/>
        <v>328982000</v>
      </c>
      <c r="D17" s="200">
        <f t="shared" si="1"/>
        <v>0</v>
      </c>
      <c r="E17" s="200">
        <f t="shared" si="1"/>
        <v>0</v>
      </c>
      <c r="F17" s="201"/>
      <c r="G17" s="200">
        <f t="shared" ref="G17:H17" si="2">SUMPRODUCT($D$21:$D$30*($E$21:$E$30=G16)) + SUMPRODUCT($J$21:$J$30*($L$21:$L$30=G16))
</f>
        <v>0</v>
      </c>
      <c r="H17" s="202">
        <f t="shared" si="2"/>
        <v>0</v>
      </c>
      <c r="I17" s="203"/>
      <c r="J17" s="202">
        <f>SUMPRODUCT($D$21:$D$30*($E$21:$E$30=J16)) + SUMPRODUCT($J$21:$J$30*($L$21:$L$30=J16))
</f>
        <v>0</v>
      </c>
      <c r="K17" s="203"/>
      <c r="L17" s="200">
        <f>SUMPRODUCT($D$21:$D$30*($E$21:$E$30=L16)) + SUMPRODUCT($J$21:$J$30*($L$21:$L$30=L16))
</f>
        <v>0</v>
      </c>
      <c r="M17" s="114"/>
    </row>
    <row r="18" ht="18.75" customHeight="1">
      <c r="A18" s="204"/>
      <c r="B18" s="205"/>
      <c r="C18" s="206"/>
      <c r="D18" s="207"/>
      <c r="E18" s="207"/>
      <c r="F18" s="201"/>
      <c r="G18" s="205"/>
      <c r="H18" s="206"/>
      <c r="I18" s="206"/>
      <c r="J18" s="207"/>
      <c r="K18" s="207"/>
      <c r="L18" s="207"/>
      <c r="M18" s="208"/>
    </row>
    <row r="19" ht="18.0" customHeight="1">
      <c r="A19" s="209"/>
      <c r="B19" s="210" t="s">
        <v>76</v>
      </c>
      <c r="D19" s="211"/>
      <c r="E19" s="211"/>
      <c r="F19" s="212"/>
      <c r="G19" s="210" t="s">
        <v>75</v>
      </c>
      <c r="H19" s="213"/>
      <c r="I19" s="213"/>
      <c r="J19" s="211"/>
      <c r="K19" s="211"/>
      <c r="L19" s="211"/>
      <c r="M19" s="209"/>
    </row>
    <row r="20" ht="22.5" customHeight="1">
      <c r="A20" s="214"/>
      <c r="B20" s="215" t="s">
        <v>77</v>
      </c>
      <c r="C20" s="216"/>
      <c r="D20" s="217" t="s">
        <v>78</v>
      </c>
      <c r="E20" s="217" t="s">
        <v>79</v>
      </c>
      <c r="F20" s="218"/>
      <c r="G20" s="215" t="s">
        <v>77</v>
      </c>
      <c r="H20" s="219"/>
      <c r="I20" s="220"/>
      <c r="J20" s="217" t="s">
        <v>78</v>
      </c>
      <c r="K20" s="221"/>
      <c r="L20" s="217" t="s">
        <v>79</v>
      </c>
      <c r="M20" s="214"/>
    </row>
    <row r="21" ht="18.0" customHeight="1">
      <c r="A21" s="222"/>
      <c r="B21" s="223" t="s">
        <v>80</v>
      </c>
      <c r="C21" s="224"/>
      <c r="D21" s="225">
        <v>6593000.0</v>
      </c>
      <c r="E21" s="226" t="s">
        <v>81</v>
      </c>
      <c r="F21" s="227"/>
      <c r="G21" s="228" t="s">
        <v>82</v>
      </c>
      <c r="H21" s="229"/>
      <c r="I21" s="230"/>
      <c r="J21" s="231">
        <v>0.0</v>
      </c>
      <c r="K21" s="224"/>
      <c r="L21" s="226" t="s">
        <v>83</v>
      </c>
      <c r="M21" s="222"/>
    </row>
    <row r="22" ht="18.0" customHeight="1">
      <c r="A22" s="222"/>
      <c r="B22" s="223" t="s">
        <v>84</v>
      </c>
      <c r="C22" s="224"/>
      <c r="D22" s="232">
        <v>3.28982E8</v>
      </c>
      <c r="E22" s="233" t="s">
        <v>85</v>
      </c>
      <c r="F22" s="234"/>
      <c r="G22" s="228" t="s">
        <v>86</v>
      </c>
      <c r="H22" s="229"/>
      <c r="I22" s="230"/>
      <c r="J22" s="231">
        <v>0.0</v>
      </c>
      <c r="K22" s="224"/>
      <c r="L22" s="233" t="s">
        <v>85</v>
      </c>
      <c r="M22" s="222"/>
    </row>
    <row r="23" ht="18.0" customHeight="1">
      <c r="A23" s="235"/>
      <c r="B23" s="228" t="s">
        <v>87</v>
      </c>
      <c r="C23" s="230"/>
      <c r="D23" s="232"/>
      <c r="E23" s="233" t="s">
        <v>83</v>
      </c>
      <c r="F23" s="234"/>
      <c r="G23" s="228" t="s">
        <v>87</v>
      </c>
      <c r="H23" s="229"/>
      <c r="I23" s="230"/>
      <c r="J23" s="231">
        <v>0.0</v>
      </c>
      <c r="K23" s="224"/>
      <c r="L23" s="233" t="s">
        <v>83</v>
      </c>
      <c r="M23" s="235"/>
    </row>
    <row r="24" ht="18.0" customHeight="1">
      <c r="A24" s="235"/>
      <c r="B24" s="228" t="s">
        <v>87</v>
      </c>
      <c r="C24" s="230"/>
      <c r="D24" s="232"/>
      <c r="E24" s="233" t="s">
        <v>88</v>
      </c>
      <c r="F24" s="182"/>
      <c r="G24" s="228" t="s">
        <v>87</v>
      </c>
      <c r="H24" s="229"/>
      <c r="I24" s="230"/>
      <c r="J24" s="231">
        <v>0.0</v>
      </c>
      <c r="K24" s="224"/>
      <c r="L24" s="233" t="s">
        <v>88</v>
      </c>
      <c r="M24" s="235"/>
    </row>
    <row r="25" ht="18.0" customHeight="1">
      <c r="A25" s="235"/>
      <c r="B25" s="228" t="s">
        <v>87</v>
      </c>
      <c r="C25" s="230"/>
      <c r="D25" s="232"/>
      <c r="E25" s="233"/>
      <c r="F25" s="234"/>
      <c r="G25" s="228" t="s">
        <v>87</v>
      </c>
      <c r="H25" s="229"/>
      <c r="I25" s="230"/>
      <c r="J25" s="236"/>
      <c r="K25" s="230"/>
      <c r="L25" s="233"/>
      <c r="M25" s="235"/>
    </row>
    <row r="26" ht="18.0" customHeight="1">
      <c r="A26" s="235"/>
      <c r="B26" s="228" t="s">
        <v>87</v>
      </c>
      <c r="C26" s="230"/>
      <c r="D26" s="232"/>
      <c r="E26" s="233"/>
      <c r="F26" s="234"/>
      <c r="G26" s="228" t="s">
        <v>87</v>
      </c>
      <c r="H26" s="229"/>
      <c r="I26" s="230"/>
      <c r="J26" s="236"/>
      <c r="K26" s="230"/>
      <c r="L26" s="233"/>
      <c r="M26" s="235"/>
    </row>
    <row r="27" ht="18.0" customHeight="1">
      <c r="A27" s="235"/>
      <c r="B27" s="228" t="s">
        <v>87</v>
      </c>
      <c r="C27" s="230"/>
      <c r="D27" s="232"/>
      <c r="E27" s="233"/>
      <c r="F27" s="234"/>
      <c r="G27" s="228" t="s">
        <v>87</v>
      </c>
      <c r="H27" s="229"/>
      <c r="I27" s="230"/>
      <c r="J27" s="236"/>
      <c r="K27" s="230"/>
      <c r="L27" s="233"/>
      <c r="M27" s="235"/>
    </row>
    <row r="28" ht="18.0" customHeight="1">
      <c r="A28" s="235"/>
      <c r="B28" s="228" t="s">
        <v>87</v>
      </c>
      <c r="C28" s="230"/>
      <c r="D28" s="232"/>
      <c r="E28" s="233"/>
      <c r="F28" s="234"/>
      <c r="G28" s="228" t="s">
        <v>87</v>
      </c>
      <c r="H28" s="229"/>
      <c r="I28" s="230"/>
      <c r="J28" s="236"/>
      <c r="K28" s="230"/>
      <c r="L28" s="233"/>
      <c r="M28" s="235"/>
    </row>
    <row r="29" ht="18.0" customHeight="1">
      <c r="A29" s="235"/>
      <c r="B29" s="228" t="s">
        <v>87</v>
      </c>
      <c r="C29" s="230"/>
      <c r="D29" s="232"/>
      <c r="E29" s="233"/>
      <c r="F29" s="234"/>
      <c r="G29" s="228" t="s">
        <v>87</v>
      </c>
      <c r="H29" s="229"/>
      <c r="I29" s="230"/>
      <c r="J29" s="237"/>
      <c r="K29" s="230"/>
      <c r="L29" s="233"/>
      <c r="M29" s="235"/>
    </row>
    <row r="30" ht="18.0" customHeight="1">
      <c r="A30" s="235"/>
      <c r="B30" s="228" t="s">
        <v>87</v>
      </c>
      <c r="C30" s="230"/>
      <c r="D30" s="238"/>
      <c r="E30" s="233"/>
      <c r="F30" s="234"/>
      <c r="G30" s="228" t="s">
        <v>87</v>
      </c>
      <c r="H30" s="229"/>
      <c r="I30" s="230"/>
      <c r="J30" s="239"/>
      <c r="K30" s="230"/>
      <c r="L30" s="233"/>
      <c r="M30" s="235"/>
    </row>
    <row r="31" ht="18.75" customHeight="1">
      <c r="A31" s="240"/>
      <c r="B31" s="241"/>
      <c r="C31" s="242"/>
      <c r="D31" s="243"/>
      <c r="E31" s="243"/>
      <c r="F31" s="183"/>
      <c r="G31" s="244"/>
      <c r="I31" s="244"/>
      <c r="J31" s="245"/>
      <c r="K31" s="245"/>
      <c r="L31" s="246"/>
      <c r="M31" s="240"/>
    </row>
    <row r="32" ht="18.75" customHeight="1">
      <c r="A32" s="247"/>
      <c r="B32" s="248" t="s">
        <v>89</v>
      </c>
      <c r="C32" s="249" t="s">
        <v>40</v>
      </c>
      <c r="D32" s="250" t="s">
        <v>90</v>
      </c>
      <c r="E32" s="250" t="s">
        <v>91</v>
      </c>
      <c r="F32" s="251"/>
      <c r="G32" s="252"/>
      <c r="H32" s="253"/>
      <c r="I32" s="253"/>
      <c r="J32" s="253"/>
      <c r="K32" s="253"/>
      <c r="L32" s="254"/>
      <c r="M32" s="251"/>
    </row>
    <row r="33" ht="18.0" customHeight="1">
      <c r="A33" s="255"/>
      <c r="B33" s="256" t="str">
        <f>'⚙️Setup'!H3</f>
        <v>January</v>
      </c>
      <c r="C33" s="257">
        <f>Budgeting!C10</f>
        <v>6943000</v>
      </c>
      <c r="D33" s="258">
        <f>Budgeting!C19</f>
        <v>343982000</v>
      </c>
      <c r="E33" s="258">
        <f>Snapshot!C34</f>
        <v>2033500</v>
      </c>
      <c r="F33" s="182"/>
      <c r="G33" s="259"/>
      <c r="L33" s="260"/>
      <c r="M33" s="240"/>
    </row>
    <row r="34" ht="18.0" customHeight="1">
      <c r="A34" s="255"/>
      <c r="B34" s="256" t="str">
        <f>'⚙️Setup'!H4</f>
        <v>February</v>
      </c>
      <c r="C34" s="258">
        <f>Budgeting!D10</f>
        <v>0</v>
      </c>
      <c r="D34" s="258">
        <f>Budgeting!D19</f>
        <v>0</v>
      </c>
      <c r="E34" s="258">
        <f>Snapshot!D34</f>
        <v>0</v>
      </c>
      <c r="F34" s="182"/>
      <c r="G34" s="259"/>
      <c r="L34" s="260"/>
      <c r="M34" s="240"/>
    </row>
    <row r="35" ht="18.0" customHeight="1">
      <c r="A35" s="255"/>
      <c r="B35" s="256" t="str">
        <f>'⚙️Setup'!H5</f>
        <v>March</v>
      </c>
      <c r="C35" s="258">
        <f>Budgeting!E10</f>
        <v>0</v>
      </c>
      <c r="D35" s="258">
        <f>Budgeting!E19</f>
        <v>0</v>
      </c>
      <c r="E35" s="258">
        <f>Snapshot!E34</f>
        <v>0</v>
      </c>
      <c r="F35" s="182"/>
      <c r="G35" s="259"/>
      <c r="L35" s="260"/>
      <c r="M35" s="240"/>
    </row>
    <row r="36" ht="18.0" customHeight="1">
      <c r="A36" s="255"/>
      <c r="B36" s="256" t="str">
        <f>'⚙️Setup'!H6</f>
        <v>April</v>
      </c>
      <c r="C36" s="258">
        <f>Budgeting!F10</f>
        <v>0</v>
      </c>
      <c r="D36" s="258">
        <f>Budgeting!F19</f>
        <v>0</v>
      </c>
      <c r="E36" s="258">
        <f>Snapshot!F34</f>
        <v>0</v>
      </c>
      <c r="F36" s="182"/>
      <c r="G36" s="259"/>
      <c r="L36" s="260"/>
      <c r="M36" s="240"/>
    </row>
    <row r="37" ht="18.0" customHeight="1">
      <c r="A37" s="255"/>
      <c r="B37" s="256" t="str">
        <f>'⚙️Setup'!H7</f>
        <v>May</v>
      </c>
      <c r="C37" s="258">
        <f>Budgeting!G10</f>
        <v>0</v>
      </c>
      <c r="D37" s="258">
        <f>Budgeting!G19</f>
        <v>0</v>
      </c>
      <c r="E37" s="258">
        <f>Snapshot!G34</f>
        <v>0</v>
      </c>
      <c r="F37" s="182"/>
      <c r="G37" s="259"/>
      <c r="L37" s="260"/>
      <c r="M37" s="240"/>
    </row>
    <row r="38" ht="18.0" customHeight="1">
      <c r="A38" s="255"/>
      <c r="B38" s="256" t="str">
        <f>'⚙️Setup'!H8</f>
        <v>June</v>
      </c>
      <c r="C38" s="258">
        <f>Budgeting!H10</f>
        <v>0</v>
      </c>
      <c r="D38" s="258">
        <f>Budgeting!H19</f>
        <v>0</v>
      </c>
      <c r="E38" s="258">
        <f>Snapshot!H34</f>
        <v>0</v>
      </c>
      <c r="F38" s="182"/>
      <c r="G38" s="259"/>
      <c r="L38" s="260"/>
      <c r="M38" s="240"/>
    </row>
    <row r="39" ht="18.0" customHeight="1">
      <c r="A39" s="255"/>
      <c r="B39" s="256" t="str">
        <f>'⚙️Setup'!H9</f>
        <v>July</v>
      </c>
      <c r="C39" s="258">
        <f>Budgeting!I10</f>
        <v>0</v>
      </c>
      <c r="D39" s="258">
        <f>Budgeting!I19</f>
        <v>0</v>
      </c>
      <c r="E39" s="258">
        <f>Snapshot!I34</f>
        <v>0</v>
      </c>
      <c r="F39" s="182"/>
      <c r="G39" s="259"/>
      <c r="L39" s="260"/>
      <c r="M39" s="240"/>
    </row>
    <row r="40" ht="18.0" customHeight="1">
      <c r="A40" s="255"/>
      <c r="B40" s="256" t="str">
        <f>'⚙️Setup'!H10</f>
        <v>August</v>
      </c>
      <c r="C40" s="258">
        <f>Budgeting!J10</f>
        <v>0</v>
      </c>
      <c r="D40" s="258">
        <f>Budgeting!J19</f>
        <v>0</v>
      </c>
      <c r="E40" s="258">
        <f>Snapshot!J34</f>
        <v>0</v>
      </c>
      <c r="F40" s="182"/>
      <c r="G40" s="259"/>
      <c r="L40" s="260"/>
      <c r="M40" s="240"/>
    </row>
    <row r="41" ht="18.0" customHeight="1">
      <c r="A41" s="255"/>
      <c r="B41" s="256" t="str">
        <f>'⚙️Setup'!H11</f>
        <v>September</v>
      </c>
      <c r="C41" s="258">
        <f>Budgeting!K10</f>
        <v>0</v>
      </c>
      <c r="D41" s="258">
        <f>Budgeting!K19</f>
        <v>0</v>
      </c>
      <c r="E41" s="258">
        <f>Snapshot!K34</f>
        <v>0</v>
      </c>
      <c r="F41" s="182"/>
      <c r="G41" s="259"/>
      <c r="L41" s="260"/>
      <c r="M41" s="240"/>
    </row>
    <row r="42" ht="18.0" customHeight="1">
      <c r="A42" s="255"/>
      <c r="B42" s="256" t="str">
        <f>'⚙️Setup'!H12</f>
        <v>October</v>
      </c>
      <c r="C42" s="258">
        <f>Budgeting!L10</f>
        <v>0</v>
      </c>
      <c r="D42" s="258">
        <f>Budgeting!L19</f>
        <v>0</v>
      </c>
      <c r="E42" s="258">
        <f>Snapshot!L34</f>
        <v>0</v>
      </c>
      <c r="F42" s="182"/>
      <c r="G42" s="259"/>
      <c r="L42" s="260"/>
      <c r="M42" s="240"/>
    </row>
    <row r="43" ht="18.0" customHeight="1">
      <c r="A43" s="255"/>
      <c r="B43" s="256" t="str">
        <f>'⚙️Setup'!H13</f>
        <v>November</v>
      </c>
      <c r="C43" s="258">
        <f>Budgeting!M10</f>
        <v>0</v>
      </c>
      <c r="D43" s="258">
        <f>Budgeting!M19</f>
        <v>0</v>
      </c>
      <c r="E43" s="258">
        <f>Snapshot!M34</f>
        <v>0</v>
      </c>
      <c r="F43" s="183"/>
      <c r="G43" s="259"/>
      <c r="L43" s="260"/>
      <c r="M43" s="240"/>
    </row>
    <row r="44" ht="18.0" customHeight="1">
      <c r="A44" s="255"/>
      <c r="B44" s="256" t="str">
        <f>'⚙️Setup'!H14</f>
        <v>December</v>
      </c>
      <c r="C44" s="258">
        <f>Budgeting!N10</f>
        <v>0</v>
      </c>
      <c r="D44" s="258">
        <f>Budgeting!N19</f>
        <v>0</v>
      </c>
      <c r="E44" s="258">
        <f>Snapshot!N34</f>
        <v>0</v>
      </c>
      <c r="F44" s="182"/>
      <c r="G44" s="259"/>
      <c r="L44" s="260"/>
      <c r="M44" s="240"/>
    </row>
    <row r="45" ht="22.5" customHeight="1">
      <c r="A45" s="288"/>
      <c r="B45" s="289" t="s">
        <v>94</v>
      </c>
      <c r="C45" s="290"/>
      <c r="D45" s="291"/>
      <c r="E45" s="291"/>
      <c r="F45" s="292"/>
      <c r="G45" s="293"/>
      <c r="H45" s="294"/>
      <c r="I45" s="294"/>
      <c r="J45" s="294"/>
      <c r="K45" s="294"/>
      <c r="L45" s="203"/>
      <c r="M45" s="296"/>
    </row>
    <row r="46" ht="18.0" customHeight="1">
      <c r="A46" s="182"/>
      <c r="B46" s="182"/>
      <c r="C46" s="182"/>
      <c r="D46" s="143"/>
      <c r="E46" s="143"/>
      <c r="F46" s="182"/>
      <c r="G46" s="182"/>
      <c r="H46" s="182"/>
      <c r="I46" s="182"/>
      <c r="J46" s="143"/>
      <c r="K46" s="143"/>
      <c r="L46" s="143"/>
      <c r="M46" s="182"/>
    </row>
    <row r="47" ht="18.0" customHeight="1">
      <c r="A47" s="208"/>
      <c r="B47" s="244"/>
      <c r="C47" s="244"/>
      <c r="D47" s="298"/>
      <c r="E47" s="299"/>
      <c r="F47" s="300"/>
      <c r="G47" s="244"/>
      <c r="H47" s="244"/>
      <c r="I47" s="244"/>
      <c r="J47" s="301"/>
      <c r="K47" s="301"/>
      <c r="L47" s="299"/>
      <c r="M47" s="208"/>
    </row>
  </sheetData>
  <mergeCells count="56">
    <mergeCell ref="B2:L2"/>
    <mergeCell ref="D4:G4"/>
    <mergeCell ref="I4:I9"/>
    <mergeCell ref="J4:J9"/>
    <mergeCell ref="E5:F5"/>
    <mergeCell ref="E6:F6"/>
    <mergeCell ref="D7:G7"/>
    <mergeCell ref="D8:G9"/>
    <mergeCell ref="H10:I10"/>
    <mergeCell ref="J10:K10"/>
    <mergeCell ref="H11:I11"/>
    <mergeCell ref="J11:K11"/>
    <mergeCell ref="H12:I12"/>
    <mergeCell ref="J12:K12"/>
    <mergeCell ref="D10:G11"/>
    <mergeCell ref="B15:E15"/>
    <mergeCell ref="H16:I16"/>
    <mergeCell ref="J16:K16"/>
    <mergeCell ref="H17:I17"/>
    <mergeCell ref="J17:K17"/>
    <mergeCell ref="J20:K20"/>
    <mergeCell ref="G21:I21"/>
    <mergeCell ref="J21:K21"/>
    <mergeCell ref="G22:I22"/>
    <mergeCell ref="J22:K22"/>
    <mergeCell ref="G23:I23"/>
    <mergeCell ref="J23:K23"/>
    <mergeCell ref="J24:K24"/>
    <mergeCell ref="B27:C27"/>
    <mergeCell ref="B28:C28"/>
    <mergeCell ref="B29:C29"/>
    <mergeCell ref="B30:C30"/>
    <mergeCell ref="B31:C31"/>
    <mergeCell ref="B45:C45"/>
    <mergeCell ref="B19:C19"/>
    <mergeCell ref="B21:C21"/>
    <mergeCell ref="B22:C22"/>
    <mergeCell ref="B23:C23"/>
    <mergeCell ref="B24:C24"/>
    <mergeCell ref="B25:C25"/>
    <mergeCell ref="B26:C26"/>
    <mergeCell ref="G28:I28"/>
    <mergeCell ref="J28:K28"/>
    <mergeCell ref="G29:I29"/>
    <mergeCell ref="J29:K29"/>
    <mergeCell ref="G30:I30"/>
    <mergeCell ref="J30:K30"/>
    <mergeCell ref="G31:H31"/>
    <mergeCell ref="G32:L45"/>
    <mergeCell ref="G24:I24"/>
    <mergeCell ref="G25:I25"/>
    <mergeCell ref="J25:K25"/>
    <mergeCell ref="G26:I26"/>
    <mergeCell ref="J26:K26"/>
    <mergeCell ref="G27:I27"/>
    <mergeCell ref="J27:K27"/>
  </mergeCells>
  <conditionalFormatting sqref="B16:L16">
    <cfRule type="containsText" dxfId="5" priority="1" operator="containsText" text="BCA">
      <formula>NOT(ISERROR(SEARCH(("BCA"),(B16))))</formula>
    </cfRule>
  </conditionalFormatting>
  <conditionalFormatting sqref="B16:L16">
    <cfRule type="containsText" dxfId="6" priority="2" operator="containsText" text="blu">
      <formula>NOT(ISERROR(SEARCH(("blu"),(B16))))</formula>
    </cfRule>
  </conditionalFormatting>
  <conditionalFormatting sqref="B16:L16">
    <cfRule type="containsText" dxfId="7" priority="3" operator="containsText" text="jago">
      <formula>NOT(ISERROR(SEARCH(("jago"),(B16))))</formula>
    </cfRule>
  </conditionalFormatting>
  <conditionalFormatting sqref="B16:L16">
    <cfRule type="containsText" dxfId="8" priority="4" operator="containsText" text="bni">
      <formula>NOT(ISERROR(SEARCH(("bni"),(B16))))</formula>
    </cfRule>
  </conditionalFormatting>
  <conditionalFormatting sqref="B16:L16">
    <cfRule type="containsText" dxfId="9" priority="5" operator="containsText" text="mandiri">
      <formula>NOT(ISERROR(SEARCH(("mandiri"),(B16))))</formula>
    </cfRule>
  </conditionalFormatting>
  <conditionalFormatting sqref="B16:L16">
    <cfRule type="containsText" dxfId="10" priority="6" operator="containsText" text="BRI">
      <formula>NOT(ISERROR(SEARCH(("BRI"),(B16))))</formula>
    </cfRule>
  </conditionalFormatting>
  <dataValidations>
    <dataValidation type="list" allowBlank="1" showErrorMessage="1" sqref="E21:E30 L21:L30">
      <formula1>Assets!$B$16:$L$16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499BA"/>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2.0"/>
    <col customWidth="1" min="2" max="2" width="17.0"/>
    <col customWidth="1" min="3" max="14" width="14.5"/>
    <col customWidth="1" min="15" max="15" width="2.0"/>
  </cols>
  <sheetData>
    <row r="1" ht="11.25" customHeight="1">
      <c r="A1" s="295"/>
      <c r="B1" s="295"/>
      <c r="C1" s="297"/>
      <c r="D1" s="297"/>
      <c r="E1" s="297"/>
      <c r="F1" s="297"/>
      <c r="G1" s="297"/>
      <c r="H1" s="297"/>
      <c r="I1" s="297"/>
      <c r="J1" s="297"/>
      <c r="K1" s="297"/>
      <c r="L1" s="297"/>
      <c r="M1" s="297"/>
      <c r="N1" s="297"/>
      <c r="O1" s="295"/>
    </row>
    <row r="2" ht="30.0" customHeight="1">
      <c r="A2" s="10"/>
      <c r="B2" s="12" t="s">
        <v>3</v>
      </c>
      <c r="C2" s="18" t="str">
        <f>'⚙️Setup'!H3</f>
        <v>January</v>
      </c>
      <c r="D2" s="18" t="str">
        <f>'⚙️Setup'!H4</f>
        <v>February</v>
      </c>
      <c r="E2" s="18" t="str">
        <f>'⚙️Setup'!H5</f>
        <v>March</v>
      </c>
      <c r="F2" s="18" t="str">
        <f>'⚙️Setup'!H6</f>
        <v>April</v>
      </c>
      <c r="G2" s="18" t="str">
        <f>'⚙️Setup'!H7</f>
        <v>May</v>
      </c>
      <c r="H2" s="18" t="str">
        <f>'⚙️Setup'!H8</f>
        <v>June</v>
      </c>
      <c r="I2" s="18" t="str">
        <f>'⚙️Setup'!H9</f>
        <v>July</v>
      </c>
      <c r="J2" s="18" t="str">
        <f>'⚙️Setup'!H10</f>
        <v>August</v>
      </c>
      <c r="K2" s="18" t="str">
        <f>'⚙️Setup'!H11</f>
        <v>September</v>
      </c>
      <c r="L2" s="18" t="str">
        <f>'⚙️Setup'!H12</f>
        <v>October</v>
      </c>
      <c r="M2" s="18" t="str">
        <f>'⚙️Setup'!H13</f>
        <v>November</v>
      </c>
      <c r="N2" s="18" t="str">
        <f>'⚙️Setup'!H14</f>
        <v>December</v>
      </c>
      <c r="O2" s="10"/>
    </row>
    <row r="3" ht="7.5" customHeight="1">
      <c r="A3" s="295"/>
      <c r="B3" s="295"/>
      <c r="C3" s="295"/>
      <c r="D3" s="295"/>
      <c r="E3" s="295"/>
      <c r="F3" s="295"/>
      <c r="G3" s="295"/>
      <c r="H3" s="295"/>
      <c r="I3" s="295"/>
      <c r="J3" s="295"/>
      <c r="K3" s="295"/>
      <c r="L3" s="295"/>
      <c r="M3" s="295"/>
      <c r="N3" s="295"/>
      <c r="O3" s="295"/>
    </row>
    <row r="4" ht="22.5" customHeight="1">
      <c r="A4" s="302"/>
      <c r="B4" s="28" t="s">
        <v>95</v>
      </c>
      <c r="C4" s="221"/>
      <c r="D4" s="221"/>
      <c r="E4" s="221"/>
      <c r="F4" s="221"/>
      <c r="G4" s="221"/>
      <c r="H4" s="221"/>
      <c r="I4" s="221"/>
      <c r="J4" s="221"/>
      <c r="K4" s="221"/>
      <c r="L4" s="221"/>
      <c r="M4" s="221"/>
      <c r="N4" s="305"/>
      <c r="O4" s="302"/>
    </row>
    <row r="5" ht="3.75" customHeight="1">
      <c r="A5" s="295"/>
      <c r="B5" s="307"/>
      <c r="C5" s="307"/>
      <c r="D5" s="307"/>
      <c r="E5" s="307"/>
      <c r="F5" s="307"/>
      <c r="G5" s="307"/>
      <c r="H5" s="307"/>
      <c r="I5" s="307"/>
      <c r="J5" s="307"/>
      <c r="K5" s="307"/>
      <c r="L5" s="307"/>
      <c r="M5" s="307"/>
      <c r="N5" s="307"/>
      <c r="O5" s="309"/>
    </row>
    <row r="6" ht="26.25" customHeight="1">
      <c r="A6" s="310"/>
      <c r="B6" s="312" t="s">
        <v>40</v>
      </c>
      <c r="C6" s="316">
        <f>Budgeting!C10</f>
        <v>6943000</v>
      </c>
      <c r="D6" s="316">
        <f>Budgeting!D10</f>
        <v>0</v>
      </c>
      <c r="E6" s="316">
        <f>Budgeting!E10</f>
        <v>0</v>
      </c>
      <c r="F6" s="316">
        <f>Budgeting!F10</f>
        <v>0</v>
      </c>
      <c r="G6" s="316">
        <f>Budgeting!G10</f>
        <v>0</v>
      </c>
      <c r="H6" s="316">
        <f>Budgeting!H10</f>
        <v>0</v>
      </c>
      <c r="I6" s="316">
        <f>Budgeting!I10</f>
        <v>0</v>
      </c>
      <c r="J6" s="316">
        <f>Budgeting!J10</f>
        <v>0</v>
      </c>
      <c r="K6" s="316">
        <f>Budgeting!K10</f>
        <v>0</v>
      </c>
      <c r="L6" s="316">
        <f>Budgeting!L10</f>
        <v>0</v>
      </c>
      <c r="M6" s="316">
        <f>Budgeting!M10</f>
        <v>0</v>
      </c>
      <c r="N6" s="316">
        <f>Budgeting!N10</f>
        <v>0</v>
      </c>
      <c r="O6" s="309"/>
    </row>
    <row r="7" ht="7.5" customHeight="1">
      <c r="A7" s="295"/>
      <c r="B7" s="295"/>
      <c r="C7" s="295"/>
      <c r="D7" s="295"/>
      <c r="E7" s="295"/>
      <c r="F7" s="295"/>
      <c r="G7" s="295"/>
      <c r="H7" s="295"/>
      <c r="I7" s="295"/>
      <c r="J7" s="295"/>
      <c r="K7" s="295"/>
      <c r="L7" s="295"/>
      <c r="M7" s="295"/>
      <c r="N7" s="295"/>
      <c r="O7" s="295"/>
    </row>
    <row r="8" ht="22.5" customHeight="1">
      <c r="A8" s="302"/>
      <c r="B8" s="58" t="s">
        <v>90</v>
      </c>
      <c r="C8" s="221"/>
      <c r="D8" s="221"/>
      <c r="E8" s="221"/>
      <c r="F8" s="221"/>
      <c r="G8" s="221"/>
      <c r="H8" s="221"/>
      <c r="I8" s="221"/>
      <c r="J8" s="221"/>
      <c r="K8" s="221"/>
      <c r="L8" s="221"/>
      <c r="M8" s="221"/>
      <c r="N8" s="305"/>
      <c r="O8" s="302"/>
    </row>
    <row r="9" ht="3.75" customHeight="1">
      <c r="A9" s="295"/>
      <c r="B9" s="322"/>
      <c r="C9" s="322"/>
      <c r="D9" s="322"/>
      <c r="E9" s="322"/>
      <c r="F9" s="322"/>
      <c r="G9" s="322"/>
      <c r="H9" s="322"/>
      <c r="I9" s="322"/>
      <c r="J9" s="322"/>
      <c r="K9" s="322"/>
      <c r="L9" s="322"/>
      <c r="M9" s="322"/>
      <c r="N9" s="322"/>
      <c r="O9" s="309"/>
    </row>
    <row r="10" ht="26.25" customHeight="1">
      <c r="A10" s="310"/>
      <c r="B10" s="48" t="s">
        <v>143</v>
      </c>
      <c r="C10" s="50">
        <f>Budgeting!C20</f>
        <v>343982000</v>
      </c>
      <c r="D10" s="50">
        <f>Budgeting!D20</f>
        <v>343982000</v>
      </c>
      <c r="E10" s="50">
        <f>Budgeting!E20</f>
        <v>343982000</v>
      </c>
      <c r="F10" s="50">
        <f>Budgeting!F20</f>
        <v>343982000</v>
      </c>
      <c r="G10" s="50">
        <f>Budgeting!G20</f>
        <v>343982000</v>
      </c>
      <c r="H10" s="50">
        <f>Budgeting!H20</f>
        <v>343982000</v>
      </c>
      <c r="I10" s="50">
        <f>Budgeting!I20</f>
        <v>343982000</v>
      </c>
      <c r="J10" s="50">
        <f>Budgeting!J20</f>
        <v>343982000</v>
      </c>
      <c r="K10" s="50">
        <f>Budgeting!K20</f>
        <v>343982000</v>
      </c>
      <c r="L10" s="50">
        <f>Budgeting!L20</f>
        <v>343982000</v>
      </c>
      <c r="M10" s="50">
        <f>Budgeting!M20</f>
        <v>343982000</v>
      </c>
      <c r="N10" s="50">
        <f>Budgeting!N20</f>
        <v>343982000</v>
      </c>
      <c r="O10" s="309"/>
    </row>
    <row r="11" ht="7.5" customHeight="1">
      <c r="A11" s="295"/>
      <c r="B11" s="295"/>
      <c r="C11" s="295"/>
      <c r="D11" s="295"/>
      <c r="E11" s="295"/>
      <c r="F11" s="295"/>
      <c r="G11" s="295"/>
      <c r="H11" s="295"/>
      <c r="I11" s="295"/>
      <c r="J11" s="295"/>
      <c r="K11" s="295"/>
      <c r="L11" s="295"/>
      <c r="M11" s="295"/>
      <c r="N11" s="295"/>
      <c r="O11" s="295"/>
    </row>
    <row r="12" ht="22.5" customHeight="1">
      <c r="A12" s="295"/>
      <c r="B12" s="106" t="s">
        <v>144</v>
      </c>
      <c r="C12" s="109"/>
      <c r="D12" s="109"/>
      <c r="E12" s="109"/>
      <c r="F12" s="109"/>
      <c r="G12" s="109"/>
      <c r="H12" s="109"/>
      <c r="I12" s="109"/>
      <c r="J12" s="109"/>
      <c r="K12" s="109"/>
      <c r="L12" s="109"/>
      <c r="M12" s="109"/>
      <c r="N12" s="111"/>
      <c r="O12" s="295"/>
    </row>
    <row r="13" ht="3.75" customHeight="1">
      <c r="A13" s="295"/>
      <c r="B13" s="324"/>
      <c r="C13" s="325"/>
      <c r="D13" s="325"/>
      <c r="E13" s="325"/>
      <c r="F13" s="325"/>
      <c r="G13" s="325"/>
      <c r="H13" s="325"/>
      <c r="I13" s="325"/>
      <c r="J13" s="325"/>
      <c r="K13" s="325"/>
      <c r="L13" s="325"/>
      <c r="M13" s="325"/>
      <c r="N13" s="326"/>
      <c r="O13" s="295"/>
    </row>
    <row r="14" ht="18.75" customHeight="1">
      <c r="A14" s="295"/>
      <c r="B14" s="33" t="str">
        <f>Budgeting!B23</f>
        <v>Family</v>
      </c>
      <c r="C14" s="33">
        <f>SUMPRODUCT((TEXT(Spending!$C:$C, "mmmm") = C$2) * (Spending!$F:$F = $B14), Spending!$G:$G)</f>
        <v>0</v>
      </c>
      <c r="D14" s="33">
        <f>SUMPRODUCT((TEXT(Spending!$C:$C, "mmmm") = D$2) * (Spending!$F:$F = $B14), Spending!$G:$G)</f>
        <v>0</v>
      </c>
      <c r="E14" s="33">
        <f>SUMPRODUCT((TEXT(Spending!$C:$C, "mmmm") = E$2) * (Spending!$F:$F = $B14), Spending!$G:$G)</f>
        <v>0</v>
      </c>
      <c r="F14" s="33">
        <f>SUMPRODUCT((TEXT(Spending!$C:$C, "mmmm") = F$2) * (Spending!$F:$F = $B14), Spending!$G:$G)</f>
        <v>0</v>
      </c>
      <c r="G14" s="33">
        <f>SUMPRODUCT((TEXT(Spending!$C:$C, "mmmm") = G$2) * (Spending!$F:$F = $B14), Spending!$G:$G)</f>
        <v>0</v>
      </c>
      <c r="H14" s="33">
        <f>SUMPRODUCT((TEXT(Spending!$C:$C, "mmmm") = H$2) * (Spending!$F:$F = $B14), Spending!$G:$G)</f>
        <v>0</v>
      </c>
      <c r="I14" s="33">
        <f>SUMPRODUCT((TEXT(Spending!$C:$C, "mmmm") = I$2) * (Spending!$F:$F = $B14), Spending!$G:$G)</f>
        <v>0</v>
      </c>
      <c r="J14" s="33">
        <f>SUMPRODUCT((TEXT(Spending!$C:$C, "mmmm") = J$2) * (Spending!$F:$F = $B14), Spending!$G:$G)</f>
        <v>0</v>
      </c>
      <c r="K14" s="33">
        <f>SUMPRODUCT((TEXT(Spending!$C:$C, "mmmm") = K$2) * (Spending!$F:$F = $B14), Spending!$G:$G)</f>
        <v>0</v>
      </c>
      <c r="L14" s="33">
        <f>SUMPRODUCT((TEXT(Spending!$C:$C, "mmmm") = L$2) * (Spending!$F:$F = $B14), Spending!$G:$G)</f>
        <v>0</v>
      </c>
      <c r="M14" s="33">
        <f>SUMPRODUCT((TEXT(Spending!$C:$C, "mmmm") = M$2) * (Spending!$F:$F = $B14), Spending!$G:$G)</f>
        <v>0</v>
      </c>
      <c r="N14" s="33">
        <f>SUMPRODUCT((TEXT(Spending!$C:$C, "mmmm") = N$2) * (Spending!$F:$F = $B14), Spending!$G:$G)</f>
        <v>0</v>
      </c>
      <c r="O14" s="295"/>
    </row>
    <row r="15" ht="18.75" customHeight="1">
      <c r="A15" s="295"/>
      <c r="B15" s="33" t="str">
        <f>Budgeting!B24</f>
        <v>Utilities</v>
      </c>
      <c r="C15" s="33">
        <f>SUMPRODUCT((TEXT(Spending!$C:$C, "mmmm") = C$2) * (Spending!$F:$F = $B15), Spending!$G:$G)</f>
        <v>500000</v>
      </c>
      <c r="D15" s="33">
        <f>SUMPRODUCT((TEXT(Spending!$C:$C, "mmmm") = D$2) * (Spending!$F:$F = $B15), Spending!$G:$G)</f>
        <v>0</v>
      </c>
      <c r="E15" s="33">
        <f>SUMPRODUCT((TEXT(Spending!$C:$C, "mmmm") = E$2) * (Spending!$F:$F = $B15), Spending!$G:$G)</f>
        <v>0</v>
      </c>
      <c r="F15" s="33">
        <f>SUMPRODUCT((TEXT(Spending!$C:$C, "mmmm") = F$2) * (Spending!$F:$F = $B15), Spending!$G:$G)</f>
        <v>0</v>
      </c>
      <c r="G15" s="33">
        <f>SUMPRODUCT((TEXT(Spending!$C:$C, "mmmm") = G$2) * (Spending!$F:$F = $B15), Spending!$G:$G)</f>
        <v>0</v>
      </c>
      <c r="H15" s="33">
        <f>SUMPRODUCT((TEXT(Spending!$C:$C, "mmmm") = H$2) * (Spending!$F:$F = $B15), Spending!$G:$G)</f>
        <v>0</v>
      </c>
      <c r="I15" s="33">
        <f>SUMPRODUCT((TEXT(Spending!$C:$C, "mmmm") = I$2) * (Spending!$F:$F = $B15), Spending!$G:$G)</f>
        <v>0</v>
      </c>
      <c r="J15" s="33">
        <f>SUMPRODUCT((TEXT(Spending!$C:$C, "mmmm") = J$2) * (Spending!$F:$F = $B15), Spending!$G:$G)</f>
        <v>0</v>
      </c>
      <c r="K15" s="33">
        <f>SUMPRODUCT((TEXT(Spending!$C:$C, "mmmm") = K$2) * (Spending!$F:$F = $B15), Spending!$G:$G)</f>
        <v>0</v>
      </c>
      <c r="L15" s="33">
        <f>SUMPRODUCT((TEXT(Spending!$C:$C, "mmmm") = L$2) * (Spending!$F:$F = $B15), Spending!$G:$G)</f>
        <v>0</v>
      </c>
      <c r="M15" s="33">
        <f>SUMPRODUCT((TEXT(Spending!$C:$C, "mmmm") = M$2) * (Spending!$F:$F = $B15), Spending!$G:$G)</f>
        <v>0</v>
      </c>
      <c r="N15" s="33">
        <f>SUMPRODUCT((TEXT(Spending!$C:$C, "mmmm") = N$2) * (Spending!$F:$F = $B15), Spending!$G:$G)</f>
        <v>0</v>
      </c>
      <c r="O15" s="295"/>
    </row>
    <row r="16" ht="18.75" customHeight="1">
      <c r="A16" s="295"/>
      <c r="B16" s="33" t="str">
        <f>Budgeting!B25</f>
        <v>Food</v>
      </c>
      <c r="C16" s="33">
        <f>SUMPRODUCT((TEXT(Spending!$C:$C, "mmmm") = C$2) * (Spending!$F:$F = $B16), Spending!$G:$G)</f>
        <v>473000</v>
      </c>
      <c r="D16" s="33">
        <f>SUMPRODUCT((TEXT(Spending!$C:$C, "mmmm") = D$2) * (Spending!$F:$F = $B16), Spending!$G:$G)</f>
        <v>0</v>
      </c>
      <c r="E16" s="33">
        <f>SUMPRODUCT((TEXT(Spending!$C:$C, "mmmm") = E$2) * (Spending!$F:$F = $B16), Spending!$G:$G)</f>
        <v>0</v>
      </c>
      <c r="F16" s="33">
        <f>SUMPRODUCT((TEXT(Spending!$C:$C, "mmmm") = F$2) * (Spending!$F:$F = $B16), Spending!$G:$G)</f>
        <v>0</v>
      </c>
      <c r="G16" s="33">
        <f>SUMPRODUCT((TEXT(Spending!$C:$C, "mmmm") = G$2) * (Spending!$F:$F = $B16), Spending!$G:$G)</f>
        <v>0</v>
      </c>
      <c r="H16" s="33">
        <f>SUMPRODUCT((TEXT(Spending!$C:$C, "mmmm") = H$2) * (Spending!$F:$F = $B16), Spending!$G:$G)</f>
        <v>0</v>
      </c>
      <c r="I16" s="33">
        <f>SUMPRODUCT((TEXT(Spending!$C:$C, "mmmm") = I$2) * (Spending!$F:$F = $B16), Spending!$G:$G)</f>
        <v>0</v>
      </c>
      <c r="J16" s="33">
        <f>SUMPRODUCT((TEXT(Spending!$C:$C, "mmmm") = J$2) * (Spending!$F:$F = $B16), Spending!$G:$G)</f>
        <v>0</v>
      </c>
      <c r="K16" s="33">
        <f>SUMPRODUCT((TEXT(Spending!$C:$C, "mmmm") = K$2) * (Spending!$F:$F = $B16), Spending!$G:$G)</f>
        <v>0</v>
      </c>
      <c r="L16" s="33">
        <f>SUMPRODUCT((TEXT(Spending!$C:$C, "mmmm") = L$2) * (Spending!$F:$F = $B16), Spending!$G:$G)</f>
        <v>0</v>
      </c>
      <c r="M16" s="33">
        <f>SUMPRODUCT((TEXT(Spending!$C:$C, "mmmm") = M$2) * (Spending!$F:$F = $B16), Spending!$G:$G)</f>
        <v>0</v>
      </c>
      <c r="N16" s="33">
        <f>SUMPRODUCT((TEXT(Spending!$C:$C, "mmmm") = N$2) * (Spending!$F:$F = $B16), Spending!$G:$G)</f>
        <v>0</v>
      </c>
      <c r="O16" s="295"/>
    </row>
    <row r="17" ht="18.75" customHeight="1">
      <c r="A17" s="295"/>
      <c r="B17" s="33" t="str">
        <f>Budgeting!B26</f>
        <v>Supplies</v>
      </c>
      <c r="C17" s="33">
        <f>SUMPRODUCT((TEXT(Spending!$C:$C, "mmmm") = C$2) * (Spending!$F:$F = $B17), Spending!$G:$G)</f>
        <v>400000</v>
      </c>
      <c r="D17" s="33">
        <f>SUMPRODUCT((TEXT(Spending!$C:$C, "mmmm") = D$2) * (Spending!$F:$F = $B17), Spending!$G:$G)</f>
        <v>0</v>
      </c>
      <c r="E17" s="33">
        <f>SUMPRODUCT((TEXT(Spending!$C:$C, "mmmm") = E$2) * (Spending!$F:$F = $B17), Spending!$G:$G)</f>
        <v>0</v>
      </c>
      <c r="F17" s="33">
        <f>SUMPRODUCT((TEXT(Spending!$C:$C, "mmmm") = F$2) * (Spending!$F:$F = $B17), Spending!$G:$G)</f>
        <v>0</v>
      </c>
      <c r="G17" s="33">
        <f>SUMPRODUCT((TEXT(Spending!$C:$C, "mmmm") = G$2) * (Spending!$F:$F = $B17), Spending!$G:$G)</f>
        <v>0</v>
      </c>
      <c r="H17" s="33">
        <f>SUMPRODUCT((TEXT(Spending!$C:$C, "mmmm") = H$2) * (Spending!$F:$F = $B17), Spending!$G:$G)</f>
        <v>0</v>
      </c>
      <c r="I17" s="33">
        <f>SUMPRODUCT((TEXT(Spending!$C:$C, "mmmm") = I$2) * (Spending!$F:$F = $B17), Spending!$G:$G)</f>
        <v>0</v>
      </c>
      <c r="J17" s="33">
        <f>SUMPRODUCT((TEXT(Spending!$C:$C, "mmmm") = J$2) * (Spending!$F:$F = $B17), Spending!$G:$G)</f>
        <v>0</v>
      </c>
      <c r="K17" s="33">
        <f>SUMPRODUCT((TEXT(Spending!$C:$C, "mmmm") = K$2) * (Spending!$F:$F = $B17), Spending!$G:$G)</f>
        <v>0</v>
      </c>
      <c r="L17" s="33">
        <f>SUMPRODUCT((TEXT(Spending!$C:$C, "mmmm") = L$2) * (Spending!$F:$F = $B17), Spending!$G:$G)</f>
        <v>0</v>
      </c>
      <c r="M17" s="33">
        <f>SUMPRODUCT((TEXT(Spending!$C:$C, "mmmm") = M$2) * (Spending!$F:$F = $B17), Spending!$G:$G)</f>
        <v>0</v>
      </c>
      <c r="N17" s="33">
        <f>SUMPRODUCT((TEXT(Spending!$C:$C, "mmmm") = N$2) * (Spending!$F:$F = $B17), Spending!$G:$G)</f>
        <v>0</v>
      </c>
      <c r="O17" s="295"/>
    </row>
    <row r="18" ht="18.75" customHeight="1">
      <c r="A18" s="295"/>
      <c r="B18" s="33" t="str">
        <f>Budgeting!B27</f>
        <v>Transportation</v>
      </c>
      <c r="C18" s="33">
        <f>SUMPRODUCT((TEXT(Spending!$C:$C, "mmmm") = C$2) * (Spending!$F:$F = $B18), Spending!$G:$G)</f>
        <v>382500</v>
      </c>
      <c r="D18" s="33">
        <f>SUMPRODUCT((TEXT(Spending!$C:$C, "mmmm") = D$2) * (Spending!$F:$F = $B18), Spending!$G:$G)</f>
        <v>0</v>
      </c>
      <c r="E18" s="33">
        <f>SUMPRODUCT((TEXT(Spending!$C:$C, "mmmm") = E$2) * (Spending!$F:$F = $B18), Spending!$G:$G)</f>
        <v>0</v>
      </c>
      <c r="F18" s="33">
        <f>SUMPRODUCT((TEXT(Spending!$C:$C, "mmmm") = F$2) * (Spending!$F:$F = $B18), Spending!$G:$G)</f>
        <v>0</v>
      </c>
      <c r="G18" s="33">
        <f>SUMPRODUCT((TEXT(Spending!$C:$C, "mmmm") = G$2) * (Spending!$F:$F = $B18), Spending!$G:$G)</f>
        <v>0</v>
      </c>
      <c r="H18" s="33">
        <f>SUMPRODUCT((TEXT(Spending!$C:$C, "mmmm") = H$2) * (Spending!$F:$F = $B18), Spending!$G:$G)</f>
        <v>0</v>
      </c>
      <c r="I18" s="33">
        <f>SUMPRODUCT((TEXT(Spending!$C:$C, "mmmm") = I$2) * (Spending!$F:$F = $B18), Spending!$G:$G)</f>
        <v>0</v>
      </c>
      <c r="J18" s="33">
        <f>SUMPRODUCT((TEXT(Spending!$C:$C, "mmmm") = J$2) * (Spending!$F:$F = $B18), Spending!$G:$G)</f>
        <v>0</v>
      </c>
      <c r="K18" s="33">
        <f>SUMPRODUCT((TEXT(Spending!$C:$C, "mmmm") = K$2) * (Spending!$F:$F = $B18), Spending!$G:$G)</f>
        <v>0</v>
      </c>
      <c r="L18" s="33">
        <f>SUMPRODUCT((TEXT(Spending!$C:$C, "mmmm") = L$2) * (Spending!$F:$F = $B18), Spending!$G:$G)</f>
        <v>0</v>
      </c>
      <c r="M18" s="33">
        <f>SUMPRODUCT((TEXT(Spending!$C:$C, "mmmm") = M$2) * (Spending!$F:$F = $B18), Spending!$G:$G)</f>
        <v>0</v>
      </c>
      <c r="N18" s="33">
        <f>SUMPRODUCT((TEXT(Spending!$C:$C, "mmmm") = N$2) * (Spending!$F:$F = $B18), Spending!$G:$G)</f>
        <v>0</v>
      </c>
      <c r="O18" s="295"/>
    </row>
    <row r="19" ht="18.75" customHeight="1">
      <c r="A19" s="295"/>
      <c r="B19" s="33" t="str">
        <f>Budgeting!B28</f>
        <v>Healthcare</v>
      </c>
      <c r="C19" s="33">
        <f>SUMPRODUCT((TEXT(Spending!$C:$C, "mmmm") = C$2) * (Spending!$F:$F = $B19), Spending!$G:$G)</f>
        <v>100000</v>
      </c>
      <c r="D19" s="33">
        <f>SUMPRODUCT((TEXT(Spending!$C:$C, "mmmm") = D$2) * (Spending!$F:$F = $B19), Spending!$G:$G)</f>
        <v>0</v>
      </c>
      <c r="E19" s="33">
        <f>SUMPRODUCT((TEXT(Spending!$C:$C, "mmmm") = E$2) * (Spending!$F:$F = $B19), Spending!$G:$G)</f>
        <v>0</v>
      </c>
      <c r="F19" s="33">
        <f>SUMPRODUCT((TEXT(Spending!$C:$C, "mmmm") = F$2) * (Spending!$F:$F = $B19), Spending!$G:$G)</f>
        <v>0</v>
      </c>
      <c r="G19" s="33">
        <f>SUMPRODUCT((TEXT(Spending!$C:$C, "mmmm") = G$2) * (Spending!$F:$F = $B19), Spending!$G:$G)</f>
        <v>0</v>
      </c>
      <c r="H19" s="33">
        <f>SUMPRODUCT((TEXT(Spending!$C:$C, "mmmm") = H$2) * (Spending!$F:$F = $B19), Spending!$G:$G)</f>
        <v>0</v>
      </c>
      <c r="I19" s="33">
        <f>SUMPRODUCT((TEXT(Spending!$C:$C, "mmmm") = I$2) * (Spending!$F:$F = $B19), Spending!$G:$G)</f>
        <v>0</v>
      </c>
      <c r="J19" s="33">
        <f>SUMPRODUCT((TEXT(Spending!$C:$C, "mmmm") = J$2) * (Spending!$F:$F = $B19), Spending!$G:$G)</f>
        <v>0</v>
      </c>
      <c r="K19" s="33">
        <f>SUMPRODUCT((TEXT(Spending!$C:$C, "mmmm") = K$2) * (Spending!$F:$F = $B19), Spending!$G:$G)</f>
        <v>0</v>
      </c>
      <c r="L19" s="33">
        <f>SUMPRODUCT((TEXT(Spending!$C:$C, "mmmm") = L$2) * (Spending!$F:$F = $B19), Spending!$G:$G)</f>
        <v>0</v>
      </c>
      <c r="M19" s="33">
        <f>SUMPRODUCT((TEXT(Spending!$C:$C, "mmmm") = M$2) * (Spending!$F:$F = $B19), Spending!$G:$G)</f>
        <v>0</v>
      </c>
      <c r="N19" s="33">
        <f>SUMPRODUCT((TEXT(Spending!$C:$C, "mmmm") = N$2) * (Spending!$F:$F = $B19), Spending!$G:$G)</f>
        <v>0</v>
      </c>
      <c r="O19" s="295"/>
    </row>
    <row r="20" ht="18.75" customHeight="1">
      <c r="A20" s="295"/>
      <c r="B20" s="33" t="str">
        <f>Budgeting!B29</f>
        <v>Debt</v>
      </c>
      <c r="C20" s="33">
        <f>SUMPRODUCT((TEXT(Spending!$C:$C, "mmmm") = C$2) * (Spending!$F:$F = $B20), Spending!$G:$G)</f>
        <v>0</v>
      </c>
      <c r="D20" s="33">
        <f>SUMPRODUCT((TEXT(Spending!$C:$C, "mmmm") = D$2) * (Spending!$F:$F = $B20), Spending!$G:$G)</f>
        <v>0</v>
      </c>
      <c r="E20" s="33">
        <f>SUMPRODUCT((TEXT(Spending!$C:$C, "mmmm") = E$2) * (Spending!$F:$F = $B20), Spending!$G:$G)</f>
        <v>0</v>
      </c>
      <c r="F20" s="33">
        <f>SUMPRODUCT((TEXT(Spending!$C:$C, "mmmm") = F$2) * (Spending!$F:$F = $B20), Spending!$G:$G)</f>
        <v>0</v>
      </c>
      <c r="G20" s="33">
        <f>SUMPRODUCT((TEXT(Spending!$C:$C, "mmmm") = G$2) * (Spending!$F:$F = $B20), Spending!$G:$G)</f>
        <v>0</v>
      </c>
      <c r="H20" s="33">
        <f>SUMPRODUCT((TEXT(Spending!$C:$C, "mmmm") = H$2) * (Spending!$F:$F = $B20), Spending!$G:$G)</f>
        <v>0</v>
      </c>
      <c r="I20" s="33">
        <f>SUMPRODUCT((TEXT(Spending!$C:$C, "mmmm") = I$2) * (Spending!$F:$F = $B20), Spending!$G:$G)</f>
        <v>0</v>
      </c>
      <c r="J20" s="33">
        <f>SUMPRODUCT((TEXT(Spending!$C:$C, "mmmm") = J$2) * (Spending!$F:$F = $B20), Spending!$G:$G)</f>
        <v>0</v>
      </c>
      <c r="K20" s="33">
        <f>SUMPRODUCT((TEXT(Spending!$C:$C, "mmmm") = K$2) * (Spending!$F:$F = $B20), Spending!$G:$G)</f>
        <v>0</v>
      </c>
      <c r="L20" s="33">
        <f>SUMPRODUCT((TEXT(Spending!$C:$C, "mmmm") = L$2) * (Spending!$F:$F = $B20), Spending!$G:$G)</f>
        <v>0</v>
      </c>
      <c r="M20" s="33">
        <f>SUMPRODUCT((TEXT(Spending!$C:$C, "mmmm") = M$2) * (Spending!$F:$F = $B20), Spending!$G:$G)</f>
        <v>0</v>
      </c>
      <c r="N20" s="33">
        <f>SUMPRODUCT((TEXT(Spending!$C:$C, "mmmm") = N$2) * (Spending!$F:$F = $B20), Spending!$G:$G)</f>
        <v>0</v>
      </c>
      <c r="O20" s="295"/>
    </row>
    <row r="21" ht="18.75" customHeight="1">
      <c r="A21" s="295"/>
      <c r="B21" s="33" t="str">
        <f>Budgeting!B30</f>
        <v>Needs 8</v>
      </c>
      <c r="C21" s="33">
        <f>SUMPRODUCT((TEXT(Spending!$C:$C, "mmmm") = C$2) * (Spending!$F:$F = $B21), Spending!$G:$G)</f>
        <v>0</v>
      </c>
      <c r="D21" s="33">
        <f>SUMPRODUCT((TEXT(Spending!$C:$C, "mmmm") = D$2) * (Spending!$F:$F = $B21), Spending!$G:$G)</f>
        <v>0</v>
      </c>
      <c r="E21" s="33">
        <f>SUMPRODUCT((TEXT(Spending!$C:$C, "mmmm") = E$2) * (Spending!$F:$F = $B21), Spending!$G:$G)</f>
        <v>0</v>
      </c>
      <c r="F21" s="33">
        <f>SUMPRODUCT((TEXT(Spending!$C:$C, "mmmm") = F$2) * (Spending!$F:$F = $B21), Spending!$G:$G)</f>
        <v>0</v>
      </c>
      <c r="G21" s="33">
        <f>SUMPRODUCT((TEXT(Spending!$C:$C, "mmmm") = G$2) * (Spending!$F:$F = $B21), Spending!$G:$G)</f>
        <v>0</v>
      </c>
      <c r="H21" s="33">
        <f>SUMPRODUCT((TEXT(Spending!$C:$C, "mmmm") = H$2) * (Spending!$F:$F = $B21), Spending!$G:$G)</f>
        <v>0</v>
      </c>
      <c r="I21" s="33">
        <f>SUMPRODUCT((TEXT(Spending!$C:$C, "mmmm") = I$2) * (Spending!$F:$F = $B21), Spending!$G:$G)</f>
        <v>0</v>
      </c>
      <c r="J21" s="33">
        <f>SUMPRODUCT((TEXT(Spending!$C:$C, "mmmm") = J$2) * (Spending!$F:$F = $B21), Spending!$G:$G)</f>
        <v>0</v>
      </c>
      <c r="K21" s="33">
        <f>SUMPRODUCT((TEXT(Spending!$C:$C, "mmmm") = K$2) * (Spending!$F:$F = $B21), Spending!$G:$G)</f>
        <v>0</v>
      </c>
      <c r="L21" s="33">
        <f>SUMPRODUCT((TEXT(Spending!$C:$C, "mmmm") = L$2) * (Spending!$F:$F = $B21), Spending!$G:$G)</f>
        <v>0</v>
      </c>
      <c r="M21" s="33">
        <f>SUMPRODUCT((TEXT(Spending!$C:$C, "mmmm") = M$2) * (Spending!$F:$F = $B21), Spending!$G:$G)</f>
        <v>0</v>
      </c>
      <c r="N21" s="33">
        <f>SUMPRODUCT((TEXT(Spending!$C:$C, "mmmm") = N$2) * (Spending!$F:$F = $B21), Spending!$G:$G)</f>
        <v>0</v>
      </c>
      <c r="O21" s="295"/>
    </row>
    <row r="22" ht="18.75" customHeight="1">
      <c r="A22" s="295"/>
      <c r="B22" s="33" t="str">
        <f>Budgeting!B31</f>
        <v>Needs 9</v>
      </c>
      <c r="C22" s="33">
        <f>SUMPRODUCT((TEXT(Spending!$C:$C, "mmmm") = C$2) * (Spending!$F:$F = $B22), Spending!$G:$G)</f>
        <v>0</v>
      </c>
      <c r="D22" s="33">
        <f>SUMPRODUCT((TEXT(Spending!$C:$C, "mmmm") = D$2) * (Spending!$F:$F = $B22), Spending!$G:$G)</f>
        <v>0</v>
      </c>
      <c r="E22" s="33">
        <f>SUMPRODUCT((TEXT(Spending!$C:$C, "mmmm") = E$2) * (Spending!$F:$F = $B22), Spending!$G:$G)</f>
        <v>0</v>
      </c>
      <c r="F22" s="33">
        <f>SUMPRODUCT((TEXT(Spending!$C:$C, "mmmm") = F$2) * (Spending!$F:$F = $B22), Spending!$G:$G)</f>
        <v>0</v>
      </c>
      <c r="G22" s="33">
        <f>SUMPRODUCT((TEXT(Spending!$C:$C, "mmmm") = G$2) * (Spending!$F:$F = $B22), Spending!$G:$G)</f>
        <v>0</v>
      </c>
      <c r="H22" s="33">
        <f>SUMPRODUCT((TEXT(Spending!$C:$C, "mmmm") = H$2) * (Spending!$F:$F = $B22), Spending!$G:$G)</f>
        <v>0</v>
      </c>
      <c r="I22" s="33">
        <f>SUMPRODUCT((TEXT(Spending!$C:$C, "mmmm") = I$2) * (Spending!$F:$F = $B22), Spending!$G:$G)</f>
        <v>0</v>
      </c>
      <c r="J22" s="33">
        <f>SUMPRODUCT((TEXT(Spending!$C:$C, "mmmm") = J$2) * (Spending!$F:$F = $B22), Spending!$G:$G)</f>
        <v>0</v>
      </c>
      <c r="K22" s="33">
        <f>SUMPRODUCT((TEXT(Spending!$C:$C, "mmmm") = K$2) * (Spending!$F:$F = $B22), Spending!$G:$G)</f>
        <v>0</v>
      </c>
      <c r="L22" s="33">
        <f>SUMPRODUCT((TEXT(Spending!$C:$C, "mmmm") = L$2) * (Spending!$F:$F = $B22), Spending!$G:$G)</f>
        <v>0</v>
      </c>
      <c r="M22" s="33">
        <f>SUMPRODUCT((TEXT(Spending!$C:$C, "mmmm") = M$2) * (Spending!$F:$F = $B22), Spending!$G:$G)</f>
        <v>0</v>
      </c>
      <c r="N22" s="33">
        <f>SUMPRODUCT((TEXT(Spending!$C:$C, "mmmm") = N$2) * (Spending!$F:$F = $B22), Spending!$G:$G)</f>
        <v>0</v>
      </c>
      <c r="O22" s="295"/>
    </row>
    <row r="23" ht="18.75" customHeight="1">
      <c r="A23" s="295"/>
      <c r="B23" s="33" t="str">
        <f>Budgeting!B32</f>
        <v>Needs 10</v>
      </c>
      <c r="C23" s="33">
        <f>SUMPRODUCT((TEXT(Spending!$C:$C, "mmmm") = C$2) * (Spending!$F:$F = $B23), Spending!$G:$G)</f>
        <v>0</v>
      </c>
      <c r="D23" s="33">
        <f>SUMPRODUCT((TEXT(Spending!$C:$C, "mmmm") = D$2) * (Spending!$F:$F = $B23), Spending!$G:$G)</f>
        <v>0</v>
      </c>
      <c r="E23" s="33">
        <f>SUMPRODUCT((TEXT(Spending!$C:$C, "mmmm") = E$2) * (Spending!$F:$F = $B23), Spending!$G:$G)</f>
        <v>0</v>
      </c>
      <c r="F23" s="33">
        <f>SUMPRODUCT((TEXT(Spending!$C:$C, "mmmm") = F$2) * (Spending!$F:$F = $B23), Spending!$G:$G)</f>
        <v>0</v>
      </c>
      <c r="G23" s="33">
        <f>SUMPRODUCT((TEXT(Spending!$C:$C, "mmmm") = G$2) * (Spending!$F:$F = $B23), Spending!$G:$G)</f>
        <v>0</v>
      </c>
      <c r="H23" s="33">
        <f>SUMPRODUCT((TEXT(Spending!$C:$C, "mmmm") = H$2) * (Spending!$F:$F = $B23), Spending!$G:$G)</f>
        <v>0</v>
      </c>
      <c r="I23" s="33">
        <f>SUMPRODUCT((TEXT(Spending!$C:$C, "mmmm") = I$2) * (Spending!$F:$F = $B23), Spending!$G:$G)</f>
        <v>0</v>
      </c>
      <c r="J23" s="33">
        <f>SUMPRODUCT((TEXT(Spending!$C:$C, "mmmm") = J$2) * (Spending!$F:$F = $B23), Spending!$G:$G)</f>
        <v>0</v>
      </c>
      <c r="K23" s="33">
        <f>SUMPRODUCT((TEXT(Spending!$C:$C, "mmmm") = K$2) * (Spending!$F:$F = $B23), Spending!$G:$G)</f>
        <v>0</v>
      </c>
      <c r="L23" s="33">
        <f>SUMPRODUCT((TEXT(Spending!$C:$C, "mmmm") = L$2) * (Spending!$F:$F = $B23), Spending!$G:$G)</f>
        <v>0</v>
      </c>
      <c r="M23" s="33">
        <f>SUMPRODUCT((TEXT(Spending!$C:$C, "mmmm") = M$2) * (Spending!$F:$F = $B23), Spending!$G:$G)</f>
        <v>0</v>
      </c>
      <c r="N23" s="33">
        <f>SUMPRODUCT((TEXT(Spending!$C:$C, "mmmm") = N$2) * (Spending!$F:$F = $B23), Spending!$G:$G)</f>
        <v>0</v>
      </c>
      <c r="O23" s="295"/>
    </row>
    <row r="24" ht="18.75" customHeight="1">
      <c r="A24" s="295"/>
      <c r="B24" s="33" t="str">
        <f>Budgeting!B33</f>
        <v>Shopping</v>
      </c>
      <c r="C24" s="33">
        <f>SUMPRODUCT((TEXT(Spending!$C:$C, "mmmm") = C$2) * (Spending!$F:$F = $B24), Spending!$G:$G)</f>
        <v>0</v>
      </c>
      <c r="D24" s="33">
        <f>SUMPRODUCT((TEXT(Spending!$C:$C, "mmmm") = D$2) * (Spending!$F:$F = $B24), Spending!$G:$G)</f>
        <v>0</v>
      </c>
      <c r="E24" s="33">
        <f>SUMPRODUCT((TEXT(Spending!$C:$C, "mmmm") = E$2) * (Spending!$F:$F = $B24), Spending!$G:$G)</f>
        <v>0</v>
      </c>
      <c r="F24" s="33">
        <f>SUMPRODUCT((TEXT(Spending!$C:$C, "mmmm") = F$2) * (Spending!$F:$F = $B24), Spending!$G:$G)</f>
        <v>0</v>
      </c>
      <c r="G24" s="33">
        <f>SUMPRODUCT((TEXT(Spending!$C:$C, "mmmm") = G$2) * (Spending!$F:$F = $B24), Spending!$G:$G)</f>
        <v>0</v>
      </c>
      <c r="H24" s="33">
        <f>SUMPRODUCT((TEXT(Spending!$C:$C, "mmmm") = H$2) * (Spending!$F:$F = $B24), Spending!$G:$G)</f>
        <v>0</v>
      </c>
      <c r="I24" s="33">
        <f>SUMPRODUCT((TEXT(Spending!$C:$C, "mmmm") = I$2) * (Spending!$F:$F = $B24), Spending!$G:$G)</f>
        <v>0</v>
      </c>
      <c r="J24" s="33">
        <f>SUMPRODUCT((TEXT(Spending!$C:$C, "mmmm") = J$2) * (Spending!$F:$F = $B24), Spending!$G:$G)</f>
        <v>0</v>
      </c>
      <c r="K24" s="33">
        <f>SUMPRODUCT((TEXT(Spending!$C:$C, "mmmm") = K$2) * (Spending!$F:$F = $B24), Spending!$G:$G)</f>
        <v>0</v>
      </c>
      <c r="L24" s="33">
        <f>SUMPRODUCT((TEXT(Spending!$C:$C, "mmmm") = L$2) * (Spending!$F:$F = $B24), Spending!$G:$G)</f>
        <v>0</v>
      </c>
      <c r="M24" s="33">
        <f>SUMPRODUCT((TEXT(Spending!$C:$C, "mmmm") = M$2) * (Spending!$F:$F = $B24), Spending!$G:$G)</f>
        <v>0</v>
      </c>
      <c r="N24" s="33">
        <f>SUMPRODUCT((TEXT(Spending!$C:$C, "mmmm") = N$2) * (Spending!$F:$F = $B24), Spending!$G:$G)</f>
        <v>0</v>
      </c>
      <c r="O24" s="295"/>
    </row>
    <row r="25" ht="18.75" customHeight="1">
      <c r="A25" s="295"/>
      <c r="B25" s="33" t="str">
        <f>Budgeting!B34</f>
        <v>Entertaiment</v>
      </c>
      <c r="C25" s="33">
        <f>SUMPRODUCT((TEXT(Spending!$C:$C, "mmmm") = C$2) * (Spending!$F:$F = $B25), Spending!$G:$G)</f>
        <v>178000</v>
      </c>
      <c r="D25" s="33">
        <f>SUMPRODUCT((TEXT(Spending!$C:$C, "mmmm") = D$2) * (Spending!$F:$F = $B25), Spending!$G:$G)</f>
        <v>0</v>
      </c>
      <c r="E25" s="33">
        <f>SUMPRODUCT((TEXT(Spending!$C:$C, "mmmm") = E$2) * (Spending!$F:$F = $B25), Spending!$G:$G)</f>
        <v>0</v>
      </c>
      <c r="F25" s="33">
        <f>SUMPRODUCT((TEXT(Spending!$C:$C, "mmmm") = F$2) * (Spending!$F:$F = $B25), Spending!$G:$G)</f>
        <v>0</v>
      </c>
      <c r="G25" s="33">
        <f>SUMPRODUCT((TEXT(Spending!$C:$C, "mmmm") = G$2) * (Spending!$F:$F = $B25), Spending!$G:$G)</f>
        <v>0</v>
      </c>
      <c r="H25" s="33">
        <f>SUMPRODUCT((TEXT(Spending!$C:$C, "mmmm") = H$2) * (Spending!$F:$F = $B25), Spending!$G:$G)</f>
        <v>0</v>
      </c>
      <c r="I25" s="33">
        <f>SUMPRODUCT((TEXT(Spending!$C:$C, "mmmm") = I$2) * (Spending!$F:$F = $B25), Spending!$G:$G)</f>
        <v>0</v>
      </c>
      <c r="J25" s="33">
        <f>SUMPRODUCT((TEXT(Spending!$C:$C, "mmmm") = J$2) * (Spending!$F:$F = $B25), Spending!$G:$G)</f>
        <v>0</v>
      </c>
      <c r="K25" s="33">
        <f>SUMPRODUCT((TEXT(Spending!$C:$C, "mmmm") = K$2) * (Spending!$F:$F = $B25), Spending!$G:$G)</f>
        <v>0</v>
      </c>
      <c r="L25" s="33">
        <f>SUMPRODUCT((TEXT(Spending!$C:$C, "mmmm") = L$2) * (Spending!$F:$F = $B25), Spending!$G:$G)</f>
        <v>0</v>
      </c>
      <c r="M25" s="33">
        <f>SUMPRODUCT((TEXT(Spending!$C:$C, "mmmm") = M$2) * (Spending!$F:$F = $B25), Spending!$G:$G)</f>
        <v>0</v>
      </c>
      <c r="N25" s="33">
        <f>SUMPRODUCT((TEXT(Spending!$C:$C, "mmmm") = N$2) * (Spending!$F:$F = $B25), Spending!$G:$G)</f>
        <v>0</v>
      </c>
      <c r="O25" s="295"/>
    </row>
    <row r="26" ht="18.75" customHeight="1">
      <c r="A26" s="295"/>
      <c r="B26" s="33" t="str">
        <f>Budgeting!B35</f>
        <v>Gifts</v>
      </c>
      <c r="C26" s="33">
        <f>SUMPRODUCT((TEXT(Spending!$C:$C, "mmmm") = C$2) * (Spending!$F:$F = $B26), Spending!$G:$G)</f>
        <v>0</v>
      </c>
      <c r="D26" s="33">
        <f>SUMPRODUCT((TEXT(Spending!$C:$C, "mmmm") = D$2) * (Spending!$F:$F = $B26), Spending!$G:$G)</f>
        <v>0</v>
      </c>
      <c r="E26" s="33">
        <f>SUMPRODUCT((TEXT(Spending!$C:$C, "mmmm") = E$2) * (Spending!$F:$F = $B26), Spending!$G:$G)</f>
        <v>0</v>
      </c>
      <c r="F26" s="33">
        <f>SUMPRODUCT((TEXT(Spending!$C:$C, "mmmm") = F$2) * (Spending!$F:$F = $B26), Spending!$G:$G)</f>
        <v>0</v>
      </c>
      <c r="G26" s="33">
        <f>SUMPRODUCT((TEXT(Spending!$C:$C, "mmmm") = G$2) * (Spending!$F:$F = $B26), Spending!$G:$G)</f>
        <v>0</v>
      </c>
      <c r="H26" s="33">
        <f>SUMPRODUCT((TEXT(Spending!$C:$C, "mmmm") = H$2) * (Spending!$F:$F = $B26), Spending!$G:$G)</f>
        <v>0</v>
      </c>
      <c r="I26" s="33">
        <f>SUMPRODUCT((TEXT(Spending!$C:$C, "mmmm") = I$2) * (Spending!$F:$F = $B26), Spending!$G:$G)</f>
        <v>0</v>
      </c>
      <c r="J26" s="33">
        <f>SUMPRODUCT((TEXT(Spending!$C:$C, "mmmm") = J$2) * (Spending!$F:$F = $B26), Spending!$G:$G)</f>
        <v>0</v>
      </c>
      <c r="K26" s="33">
        <f>SUMPRODUCT((TEXT(Spending!$C:$C, "mmmm") = K$2) * (Spending!$F:$F = $B26), Spending!$G:$G)</f>
        <v>0</v>
      </c>
      <c r="L26" s="33">
        <f>SUMPRODUCT((TEXT(Spending!$C:$C, "mmmm") = L$2) * (Spending!$F:$F = $B26), Spending!$G:$G)</f>
        <v>0</v>
      </c>
      <c r="M26" s="33">
        <f>SUMPRODUCT((TEXT(Spending!$C:$C, "mmmm") = M$2) * (Spending!$F:$F = $B26), Spending!$G:$G)</f>
        <v>0</v>
      </c>
      <c r="N26" s="33">
        <f>SUMPRODUCT((TEXT(Spending!$C:$C, "mmmm") = N$2) * (Spending!$F:$F = $B26), Spending!$G:$G)</f>
        <v>0</v>
      </c>
      <c r="O26" s="295"/>
    </row>
    <row r="27" ht="18.75" customHeight="1">
      <c r="A27" s="295"/>
      <c r="B27" s="33" t="str">
        <f>Budgeting!B36</f>
        <v>Travel	</v>
      </c>
      <c r="C27" s="33">
        <f>SUMPRODUCT((TEXT(Spending!$C:$C, "mmmm") = C$2) * (Spending!$F:$F = $B27), Spending!$G:$G)</f>
        <v>0</v>
      </c>
      <c r="D27" s="33">
        <f>SUMPRODUCT((TEXT(Spending!$C:$C, "mmmm") = D$2) * (Spending!$F:$F = $B27), Spending!$G:$G)</f>
        <v>0</v>
      </c>
      <c r="E27" s="33">
        <f>SUMPRODUCT((TEXT(Spending!$C:$C, "mmmm") = E$2) * (Spending!$F:$F = $B27), Spending!$G:$G)</f>
        <v>0</v>
      </c>
      <c r="F27" s="33">
        <f>SUMPRODUCT((TEXT(Spending!$C:$C, "mmmm") = F$2) * (Spending!$F:$F = $B27), Spending!$G:$G)</f>
        <v>0</v>
      </c>
      <c r="G27" s="33">
        <f>SUMPRODUCT((TEXT(Spending!$C:$C, "mmmm") = G$2) * (Spending!$F:$F = $B27), Spending!$G:$G)</f>
        <v>0</v>
      </c>
      <c r="H27" s="33">
        <f>SUMPRODUCT((TEXT(Spending!$C:$C, "mmmm") = H$2) * (Spending!$F:$F = $B27), Spending!$G:$G)</f>
        <v>0</v>
      </c>
      <c r="I27" s="33">
        <f>SUMPRODUCT((TEXT(Spending!$C:$C, "mmmm") = I$2) * (Spending!$F:$F = $B27), Spending!$G:$G)</f>
        <v>0</v>
      </c>
      <c r="J27" s="33">
        <f>SUMPRODUCT((TEXT(Spending!$C:$C, "mmmm") = J$2) * (Spending!$F:$F = $B27), Spending!$G:$G)</f>
        <v>0</v>
      </c>
      <c r="K27" s="33">
        <f>SUMPRODUCT((TEXT(Spending!$C:$C, "mmmm") = K$2) * (Spending!$F:$F = $B27), Spending!$G:$G)</f>
        <v>0</v>
      </c>
      <c r="L27" s="33">
        <f>SUMPRODUCT((TEXT(Spending!$C:$C, "mmmm") = L$2) * (Spending!$F:$F = $B27), Spending!$G:$G)</f>
        <v>0</v>
      </c>
      <c r="M27" s="33">
        <f>SUMPRODUCT((TEXT(Spending!$C:$C, "mmmm") = M$2) * (Spending!$F:$F = $B27), Spending!$G:$G)</f>
        <v>0</v>
      </c>
      <c r="N27" s="33">
        <f>SUMPRODUCT((TEXT(Spending!$C:$C, "mmmm") = N$2) * (Spending!$F:$F = $B27), Spending!$G:$G)</f>
        <v>0</v>
      </c>
      <c r="O27" s="295"/>
    </row>
    <row r="28" ht="18.75" customHeight="1">
      <c r="A28" s="295"/>
      <c r="B28" s="33" t="str">
        <f>Budgeting!B37</f>
        <v>Wants 5</v>
      </c>
      <c r="C28" s="33">
        <f>SUMPRODUCT((TEXT(Spending!$C:$C, "mmmm") = C$2) * (Spending!$F:$F = $B28), Spending!$G:$G)</f>
        <v>0</v>
      </c>
      <c r="D28" s="33">
        <f>SUMPRODUCT((TEXT(Spending!$C:$C, "mmmm") = D$2) * (Spending!$F:$F = $B28), Spending!$G:$G)</f>
        <v>0</v>
      </c>
      <c r="E28" s="33">
        <f>SUMPRODUCT((TEXT(Spending!$C:$C, "mmmm") = E$2) * (Spending!$F:$F = $B28), Spending!$G:$G)</f>
        <v>0</v>
      </c>
      <c r="F28" s="33">
        <f>SUMPRODUCT((TEXT(Spending!$C:$C, "mmmm") = F$2) * (Spending!$F:$F = $B28), Spending!$G:$G)</f>
        <v>0</v>
      </c>
      <c r="G28" s="33">
        <f>SUMPRODUCT((TEXT(Spending!$C:$C, "mmmm") = G$2) * (Spending!$F:$F = $B28), Spending!$G:$G)</f>
        <v>0</v>
      </c>
      <c r="H28" s="33">
        <f>SUMPRODUCT((TEXT(Spending!$C:$C, "mmmm") = H$2) * (Spending!$F:$F = $B28), Spending!$G:$G)</f>
        <v>0</v>
      </c>
      <c r="I28" s="33">
        <f>SUMPRODUCT((TEXT(Spending!$C:$C, "mmmm") = I$2) * (Spending!$F:$F = $B28), Spending!$G:$G)</f>
        <v>0</v>
      </c>
      <c r="J28" s="33">
        <f>SUMPRODUCT((TEXT(Spending!$C:$C, "mmmm") = J$2) * (Spending!$F:$F = $B28), Spending!$G:$G)</f>
        <v>0</v>
      </c>
      <c r="K28" s="33">
        <f>SUMPRODUCT((TEXT(Spending!$C:$C, "mmmm") = K$2) * (Spending!$F:$F = $B28), Spending!$G:$G)</f>
        <v>0</v>
      </c>
      <c r="L28" s="33">
        <f>SUMPRODUCT((TEXT(Spending!$C:$C, "mmmm") = L$2) * (Spending!$F:$F = $B28), Spending!$G:$G)</f>
        <v>0</v>
      </c>
      <c r="M28" s="33">
        <f>SUMPRODUCT((TEXT(Spending!$C:$C, "mmmm") = M$2) * (Spending!$F:$F = $B28), Spending!$G:$G)</f>
        <v>0</v>
      </c>
      <c r="N28" s="33">
        <f>SUMPRODUCT((TEXT(Spending!$C:$C, "mmmm") = N$2) * (Spending!$F:$F = $B28), Spending!$G:$G)</f>
        <v>0</v>
      </c>
      <c r="O28" s="295"/>
    </row>
    <row r="29" ht="18.75" customHeight="1">
      <c r="A29" s="295"/>
      <c r="B29" s="33" t="str">
        <f>Budgeting!B38</f>
        <v>Wants 6</v>
      </c>
      <c r="C29" s="33">
        <f>SUMPRODUCT((TEXT(Spending!$C:$C, "mmmm") = C$2) * (Spending!$F:$F = $B29), Spending!$G:$G)</f>
        <v>0</v>
      </c>
      <c r="D29" s="33">
        <f>SUMPRODUCT((TEXT(Spending!$C:$C, "mmmm") = D$2) * (Spending!$F:$F = $B29), Spending!$G:$G)</f>
        <v>0</v>
      </c>
      <c r="E29" s="33">
        <f>SUMPRODUCT((TEXT(Spending!$C:$C, "mmmm") = E$2) * (Spending!$F:$F = $B29), Spending!$G:$G)</f>
        <v>0</v>
      </c>
      <c r="F29" s="33">
        <f>SUMPRODUCT((TEXT(Spending!$C:$C, "mmmm") = F$2) * (Spending!$F:$F = $B29), Spending!$G:$G)</f>
        <v>0</v>
      </c>
      <c r="G29" s="33">
        <f>SUMPRODUCT((TEXT(Spending!$C:$C, "mmmm") = G$2) * (Spending!$F:$F = $B29), Spending!$G:$G)</f>
        <v>0</v>
      </c>
      <c r="H29" s="33">
        <f>SUMPRODUCT((TEXT(Spending!$C:$C, "mmmm") = H$2) * (Spending!$F:$F = $B29), Spending!$G:$G)</f>
        <v>0</v>
      </c>
      <c r="I29" s="33">
        <f>SUMPRODUCT((TEXT(Spending!$C:$C, "mmmm") = I$2) * (Spending!$F:$F = $B29), Spending!$G:$G)</f>
        <v>0</v>
      </c>
      <c r="J29" s="33">
        <f>SUMPRODUCT((TEXT(Spending!$C:$C, "mmmm") = J$2) * (Spending!$F:$F = $B29), Spending!$G:$G)</f>
        <v>0</v>
      </c>
      <c r="K29" s="33">
        <f>SUMPRODUCT((TEXT(Spending!$C:$C, "mmmm") = K$2) * (Spending!$F:$F = $B29), Spending!$G:$G)</f>
        <v>0</v>
      </c>
      <c r="L29" s="33">
        <f>SUMPRODUCT((TEXT(Spending!$C:$C, "mmmm") = L$2) * (Spending!$F:$F = $B29), Spending!$G:$G)</f>
        <v>0</v>
      </c>
      <c r="M29" s="33">
        <f>SUMPRODUCT((TEXT(Spending!$C:$C, "mmmm") = M$2) * (Spending!$F:$F = $B29), Spending!$G:$G)</f>
        <v>0</v>
      </c>
      <c r="N29" s="33">
        <f>SUMPRODUCT((TEXT(Spending!$C:$C, "mmmm") = N$2) * (Spending!$F:$F = $B29), Spending!$G:$G)</f>
        <v>0</v>
      </c>
      <c r="O29" s="295"/>
    </row>
    <row r="30" ht="18.75" customHeight="1">
      <c r="A30" s="295"/>
      <c r="B30" s="33" t="str">
        <f>Budgeting!B39</f>
        <v>Wants 7</v>
      </c>
      <c r="C30" s="33">
        <f>SUMPRODUCT((TEXT(Spending!$C:$C, "mmmm") = C$2) * (Spending!$F:$F = $B30), Spending!$G:$G)</f>
        <v>0</v>
      </c>
      <c r="D30" s="33">
        <f>SUMPRODUCT((TEXT(Spending!$C:$C, "mmmm") = D$2) * (Spending!$F:$F = $B30), Spending!$G:$G)</f>
        <v>0</v>
      </c>
      <c r="E30" s="33">
        <f>SUMPRODUCT((TEXT(Spending!$C:$C, "mmmm") = E$2) * (Spending!$F:$F = $B30), Spending!$G:$G)</f>
        <v>0</v>
      </c>
      <c r="F30" s="33">
        <f>SUMPRODUCT((TEXT(Spending!$C:$C, "mmmm") = F$2) * (Spending!$F:$F = $B30), Spending!$G:$G)</f>
        <v>0</v>
      </c>
      <c r="G30" s="33">
        <f>SUMPRODUCT((TEXT(Spending!$C:$C, "mmmm") = G$2) * (Spending!$F:$F = $B30), Spending!$G:$G)</f>
        <v>0</v>
      </c>
      <c r="H30" s="33">
        <f>SUMPRODUCT((TEXT(Spending!$C:$C, "mmmm") = H$2) * (Spending!$F:$F = $B30), Spending!$G:$G)</f>
        <v>0</v>
      </c>
      <c r="I30" s="33">
        <f>SUMPRODUCT((TEXT(Spending!$C:$C, "mmmm") = I$2) * (Spending!$F:$F = $B30), Spending!$G:$G)</f>
        <v>0</v>
      </c>
      <c r="J30" s="33">
        <f>SUMPRODUCT((TEXT(Spending!$C:$C, "mmmm") = J$2) * (Spending!$F:$F = $B30), Spending!$G:$G)</f>
        <v>0</v>
      </c>
      <c r="K30" s="33">
        <f>SUMPRODUCT((TEXT(Spending!$C:$C, "mmmm") = K$2) * (Spending!$F:$F = $B30), Spending!$G:$G)</f>
        <v>0</v>
      </c>
      <c r="L30" s="33">
        <f>SUMPRODUCT((TEXT(Spending!$C:$C, "mmmm") = L$2) * (Spending!$F:$F = $B30), Spending!$G:$G)</f>
        <v>0</v>
      </c>
      <c r="M30" s="33">
        <f>SUMPRODUCT((TEXT(Spending!$C:$C, "mmmm") = M$2) * (Spending!$F:$F = $B30), Spending!$G:$G)</f>
        <v>0</v>
      </c>
      <c r="N30" s="33">
        <f>SUMPRODUCT((TEXT(Spending!$C:$C, "mmmm") = N$2) * (Spending!$F:$F = $B30), Spending!$G:$G)</f>
        <v>0</v>
      </c>
      <c r="O30" s="295"/>
    </row>
    <row r="31" ht="18.75" customHeight="1">
      <c r="A31" s="295"/>
      <c r="B31" s="33" t="str">
        <f>Budgeting!B40</f>
        <v>Wants 8</v>
      </c>
      <c r="C31" s="33">
        <f>SUMPRODUCT((TEXT(Spending!$C:$C, "mmmm") = C$2) * (Spending!$F:$F = $B31), Spending!$G:$G)</f>
        <v>0</v>
      </c>
      <c r="D31" s="33">
        <f>SUMPRODUCT((TEXT(Spending!$C:$C, "mmmm") = D$2) * (Spending!$F:$F = $B31), Spending!$G:$G)</f>
        <v>0</v>
      </c>
      <c r="E31" s="33">
        <f>SUMPRODUCT((TEXT(Spending!$C:$C, "mmmm") = E$2) * (Spending!$F:$F = $B31), Spending!$G:$G)</f>
        <v>0</v>
      </c>
      <c r="F31" s="33">
        <f>SUMPRODUCT((TEXT(Spending!$C:$C, "mmmm") = F$2) * (Spending!$F:$F = $B31), Spending!$G:$G)</f>
        <v>0</v>
      </c>
      <c r="G31" s="33">
        <f>SUMPRODUCT((TEXT(Spending!$C:$C, "mmmm") = G$2) * (Spending!$F:$F = $B31), Spending!$G:$G)</f>
        <v>0</v>
      </c>
      <c r="H31" s="33">
        <f>SUMPRODUCT((TEXT(Spending!$C:$C, "mmmm") = H$2) * (Spending!$F:$F = $B31), Spending!$G:$G)</f>
        <v>0</v>
      </c>
      <c r="I31" s="33">
        <f>SUMPRODUCT((TEXT(Spending!$C:$C, "mmmm") = I$2) * (Spending!$F:$F = $B31), Spending!$G:$G)</f>
        <v>0</v>
      </c>
      <c r="J31" s="33">
        <f>SUMPRODUCT((TEXT(Spending!$C:$C, "mmmm") = J$2) * (Spending!$F:$F = $B31), Spending!$G:$G)</f>
        <v>0</v>
      </c>
      <c r="K31" s="33">
        <f>SUMPRODUCT((TEXT(Spending!$C:$C, "mmmm") = K$2) * (Spending!$F:$F = $B31), Spending!$G:$G)</f>
        <v>0</v>
      </c>
      <c r="L31" s="33">
        <f>SUMPRODUCT((TEXT(Spending!$C:$C, "mmmm") = L$2) * (Spending!$F:$F = $B31), Spending!$G:$G)</f>
        <v>0</v>
      </c>
      <c r="M31" s="33">
        <f>SUMPRODUCT((TEXT(Spending!$C:$C, "mmmm") = M$2) * (Spending!$F:$F = $B31), Spending!$G:$G)</f>
        <v>0</v>
      </c>
      <c r="N31" s="33">
        <f>SUMPRODUCT((TEXT(Spending!$C:$C, "mmmm") = N$2) * (Spending!$F:$F = $B31), Spending!$G:$G)</f>
        <v>0</v>
      </c>
      <c r="O31" s="295"/>
    </row>
    <row r="32" ht="18.75" customHeight="1">
      <c r="A32" s="295"/>
      <c r="B32" s="33" t="str">
        <f>Budgeting!B41</f>
        <v>Wants 9</v>
      </c>
      <c r="C32" s="33">
        <f>SUMPRODUCT((TEXT(Spending!$C:$C, "mmmm") = C$2) * (Spending!$F:$F = $B32), Spending!$G:$G)</f>
        <v>0</v>
      </c>
      <c r="D32" s="33">
        <f>SUMPRODUCT((TEXT(Spending!$C:$C, "mmmm") = D$2) * (Spending!$F:$F = $B32), Spending!$G:$G)</f>
        <v>0</v>
      </c>
      <c r="E32" s="33">
        <f>SUMPRODUCT((TEXT(Spending!$C:$C, "mmmm") = E$2) * (Spending!$F:$F = $B32), Spending!$G:$G)</f>
        <v>0</v>
      </c>
      <c r="F32" s="33">
        <f>SUMPRODUCT((TEXT(Spending!$C:$C, "mmmm") = F$2) * (Spending!$F:$F = $B32), Spending!$G:$G)</f>
        <v>0</v>
      </c>
      <c r="G32" s="33">
        <f>SUMPRODUCT((TEXT(Spending!$C:$C, "mmmm") = G$2) * (Spending!$F:$F = $B32), Spending!$G:$G)</f>
        <v>0</v>
      </c>
      <c r="H32" s="33">
        <f>SUMPRODUCT((TEXT(Spending!$C:$C, "mmmm") = H$2) * (Spending!$F:$F = $B32), Spending!$G:$G)</f>
        <v>0</v>
      </c>
      <c r="I32" s="33">
        <f>SUMPRODUCT((TEXT(Spending!$C:$C, "mmmm") = I$2) * (Spending!$F:$F = $B32), Spending!$G:$G)</f>
        <v>0</v>
      </c>
      <c r="J32" s="33">
        <f>SUMPRODUCT((TEXT(Spending!$C:$C, "mmmm") = J$2) * (Spending!$F:$F = $B32), Spending!$G:$G)</f>
        <v>0</v>
      </c>
      <c r="K32" s="33">
        <f>SUMPRODUCT((TEXT(Spending!$C:$C, "mmmm") = K$2) * (Spending!$F:$F = $B32), Spending!$G:$G)</f>
        <v>0</v>
      </c>
      <c r="L32" s="33">
        <f>SUMPRODUCT((TEXT(Spending!$C:$C, "mmmm") = L$2) * (Spending!$F:$F = $B32), Spending!$G:$G)</f>
        <v>0</v>
      </c>
      <c r="M32" s="33">
        <f>SUMPRODUCT((TEXT(Spending!$C:$C, "mmmm") = M$2) * (Spending!$F:$F = $B32), Spending!$G:$G)</f>
        <v>0</v>
      </c>
      <c r="N32" s="33">
        <f>SUMPRODUCT((TEXT(Spending!$C:$C, "mmmm") = N$2) * (Spending!$F:$F = $B32), Spending!$G:$G)</f>
        <v>0</v>
      </c>
      <c r="O32" s="295"/>
    </row>
    <row r="33" ht="18.75" customHeight="1">
      <c r="A33" s="295"/>
      <c r="B33" s="33" t="str">
        <f>Budgeting!B42</f>
        <v>Wants 10</v>
      </c>
      <c r="C33" s="33">
        <f>SUMPRODUCT((TEXT(Spending!$C:$C, "mmmm") = C$2) * (Spending!$F:$F = $B33), Spending!$G:$G)</f>
        <v>0</v>
      </c>
      <c r="D33" s="33">
        <f>SUMPRODUCT((TEXT(Spending!$C:$C, "mmmm") = D$2) * (Spending!$F:$F = $B33), Spending!$G:$G)</f>
        <v>0</v>
      </c>
      <c r="E33" s="33">
        <f>SUMPRODUCT((TEXT(Spending!$C:$C, "mmmm") = E$2) * (Spending!$F:$F = $B33), Spending!$G:$G)</f>
        <v>0</v>
      </c>
      <c r="F33" s="33">
        <f>SUMPRODUCT((TEXT(Spending!$C:$C, "mmmm") = F$2) * (Spending!$F:$F = $B33), Spending!$G:$G)</f>
        <v>0</v>
      </c>
      <c r="G33" s="33">
        <f>SUMPRODUCT((TEXT(Spending!$C:$C, "mmmm") = G$2) * (Spending!$F:$F = $B33), Spending!$G:$G)</f>
        <v>0</v>
      </c>
      <c r="H33" s="33">
        <f>SUMPRODUCT((TEXT(Spending!$C:$C, "mmmm") = H$2) * (Spending!$F:$F = $B33), Spending!$G:$G)</f>
        <v>0</v>
      </c>
      <c r="I33" s="33">
        <f>SUMPRODUCT((TEXT(Spending!$C:$C, "mmmm") = I$2) * (Spending!$F:$F = $B33), Spending!$G:$G)</f>
        <v>0</v>
      </c>
      <c r="J33" s="33">
        <f>SUMPRODUCT((TEXT(Spending!$C:$C, "mmmm") = J$2) * (Spending!$F:$F = $B33), Spending!$G:$G)</f>
        <v>0</v>
      </c>
      <c r="K33" s="33">
        <f>SUMPRODUCT((TEXT(Spending!$C:$C, "mmmm") = K$2) * (Spending!$F:$F = $B33), Spending!$G:$G)</f>
        <v>0</v>
      </c>
      <c r="L33" s="33">
        <f>SUMPRODUCT((TEXT(Spending!$C:$C, "mmmm") = L$2) * (Spending!$F:$F = $B33), Spending!$G:$G)</f>
        <v>0</v>
      </c>
      <c r="M33" s="33">
        <f>SUMPRODUCT((TEXT(Spending!$C:$C, "mmmm") = M$2) * (Spending!$F:$F = $B33), Spending!$G:$G)</f>
        <v>0</v>
      </c>
      <c r="N33" s="33">
        <f>SUMPRODUCT((TEXT(Spending!$C:$C, "mmmm") = N$2) * (Spending!$F:$F = $B33), Spending!$G:$G)</f>
        <v>0</v>
      </c>
      <c r="O33" s="295"/>
    </row>
    <row r="34" ht="26.25" customHeight="1">
      <c r="A34" s="310"/>
      <c r="B34" s="48" t="s">
        <v>22</v>
      </c>
      <c r="C34" s="129">
        <f t="shared" ref="C34:N34" si="1">SUM(C14:C33)</f>
        <v>2033500</v>
      </c>
      <c r="D34" s="129">
        <f t="shared" si="1"/>
        <v>0</v>
      </c>
      <c r="E34" s="129">
        <f t="shared" si="1"/>
        <v>0</v>
      </c>
      <c r="F34" s="129">
        <f t="shared" si="1"/>
        <v>0</v>
      </c>
      <c r="G34" s="129">
        <f t="shared" si="1"/>
        <v>0</v>
      </c>
      <c r="H34" s="129">
        <f t="shared" si="1"/>
        <v>0</v>
      </c>
      <c r="I34" s="129">
        <f t="shared" si="1"/>
        <v>0</v>
      </c>
      <c r="J34" s="129">
        <f t="shared" si="1"/>
        <v>0</v>
      </c>
      <c r="K34" s="129">
        <f t="shared" si="1"/>
        <v>0</v>
      </c>
      <c r="L34" s="129">
        <f t="shared" si="1"/>
        <v>0</v>
      </c>
      <c r="M34" s="129">
        <f t="shared" si="1"/>
        <v>0</v>
      </c>
      <c r="N34" s="129">
        <f t="shared" si="1"/>
        <v>0</v>
      </c>
      <c r="O34" s="310"/>
    </row>
    <row r="35" ht="7.5" customHeight="1">
      <c r="A35" s="295"/>
      <c r="B35" s="295"/>
      <c r="C35" s="295"/>
      <c r="D35" s="295"/>
      <c r="E35" s="295"/>
      <c r="F35" s="295"/>
      <c r="G35" s="295"/>
      <c r="H35" s="295"/>
      <c r="I35" s="295"/>
      <c r="J35" s="295"/>
      <c r="K35" s="295"/>
      <c r="L35" s="295"/>
      <c r="M35" s="295"/>
      <c r="N35" s="295"/>
      <c r="O35" s="295"/>
    </row>
    <row r="36" ht="22.5" customHeight="1">
      <c r="A36" s="302"/>
      <c r="B36" s="402" t="s">
        <v>151</v>
      </c>
      <c r="C36" s="221"/>
      <c r="D36" s="221"/>
      <c r="E36" s="221"/>
      <c r="F36" s="221"/>
      <c r="G36" s="221"/>
      <c r="H36" s="221"/>
      <c r="I36" s="221"/>
      <c r="J36" s="221"/>
      <c r="K36" s="221"/>
      <c r="L36" s="221"/>
      <c r="M36" s="221"/>
      <c r="N36" s="305"/>
      <c r="O36" s="295"/>
    </row>
    <row r="37" ht="3.75" customHeight="1">
      <c r="A37" s="302"/>
      <c r="B37" s="403"/>
      <c r="C37" s="403"/>
      <c r="D37" s="403"/>
      <c r="E37" s="403"/>
      <c r="F37" s="403"/>
      <c r="G37" s="403"/>
      <c r="H37" s="403"/>
      <c r="I37" s="403"/>
      <c r="J37" s="403"/>
      <c r="K37" s="403"/>
      <c r="L37" s="403"/>
      <c r="M37" s="403"/>
      <c r="N37" s="403"/>
      <c r="O37" s="295"/>
    </row>
    <row r="38" ht="18.75" customHeight="1">
      <c r="A38" s="302"/>
      <c r="B38" s="33" t="str">
        <f>Budgeting!B23</f>
        <v>Family</v>
      </c>
      <c r="C38" s="33">
        <f>Budgeting!C23-C14</f>
        <v>500000</v>
      </c>
      <c r="D38" s="33">
        <f>Budgeting!D23-D14</f>
        <v>0</v>
      </c>
      <c r="E38" s="33">
        <f>Budgeting!E23-E14</f>
        <v>0</v>
      </c>
      <c r="F38" s="33">
        <f>Budgeting!F23-F14</f>
        <v>0</v>
      </c>
      <c r="G38" s="33">
        <f>Budgeting!G23-G14</f>
        <v>0</v>
      </c>
      <c r="H38" s="33">
        <f>Budgeting!H23-H14</f>
        <v>0</v>
      </c>
      <c r="I38" s="33">
        <f>Budgeting!I23-I14</f>
        <v>0</v>
      </c>
      <c r="J38" s="33">
        <f>Budgeting!J23-J14</f>
        <v>0</v>
      </c>
      <c r="K38" s="33">
        <f>Budgeting!K23-K14</f>
        <v>0</v>
      </c>
      <c r="L38" s="33">
        <f>Budgeting!L23-L14</f>
        <v>0</v>
      </c>
      <c r="M38" s="33">
        <f>Budgeting!M23-M14</f>
        <v>0</v>
      </c>
      <c r="N38" s="33">
        <f>Budgeting!N23-N14</f>
        <v>0</v>
      </c>
      <c r="O38" s="295"/>
    </row>
    <row r="39" ht="18.75" customHeight="1">
      <c r="A39" s="295"/>
      <c r="B39" s="33" t="str">
        <f>Budgeting!B24</f>
        <v>Utilities</v>
      </c>
      <c r="C39" s="33">
        <f>Budgeting!C24-C15</f>
        <v>0</v>
      </c>
      <c r="D39" s="33">
        <f>Budgeting!D24-D15</f>
        <v>0</v>
      </c>
      <c r="E39" s="33">
        <f>Budgeting!E24-E15</f>
        <v>0</v>
      </c>
      <c r="F39" s="33">
        <f>Budgeting!F24-F15</f>
        <v>0</v>
      </c>
      <c r="G39" s="33">
        <f>Budgeting!G24-G15</f>
        <v>0</v>
      </c>
      <c r="H39" s="33">
        <f>Budgeting!H24-H15</f>
        <v>0</v>
      </c>
      <c r="I39" s="33">
        <f>Budgeting!I24-I15</f>
        <v>0</v>
      </c>
      <c r="J39" s="33">
        <f>Budgeting!J24-J15</f>
        <v>0</v>
      </c>
      <c r="K39" s="33">
        <f>Budgeting!K24-K15</f>
        <v>0</v>
      </c>
      <c r="L39" s="33">
        <f>Budgeting!L24-L15</f>
        <v>0</v>
      </c>
      <c r="M39" s="33">
        <f>Budgeting!M24-M15</f>
        <v>0</v>
      </c>
      <c r="N39" s="33">
        <f>Budgeting!N24-N15</f>
        <v>0</v>
      </c>
      <c r="O39" s="295"/>
    </row>
    <row r="40" ht="18.75" customHeight="1">
      <c r="A40" s="295"/>
      <c r="B40" s="33" t="str">
        <f>Budgeting!B25</f>
        <v>Food</v>
      </c>
      <c r="C40" s="33">
        <f>Budgeting!C25-C16</f>
        <v>127000</v>
      </c>
      <c r="D40" s="33">
        <f>Budgeting!D25-D16</f>
        <v>0</v>
      </c>
      <c r="E40" s="33">
        <f>Budgeting!E25-E16</f>
        <v>0</v>
      </c>
      <c r="F40" s="33">
        <f>Budgeting!F25-F16</f>
        <v>0</v>
      </c>
      <c r="G40" s="33">
        <f>Budgeting!G25-G16</f>
        <v>0</v>
      </c>
      <c r="H40" s="33">
        <f>Budgeting!H25-H16</f>
        <v>0</v>
      </c>
      <c r="I40" s="33">
        <f>Budgeting!I25-I16</f>
        <v>0</v>
      </c>
      <c r="J40" s="33">
        <f>Budgeting!J25-J16</f>
        <v>0</v>
      </c>
      <c r="K40" s="33">
        <f>Budgeting!K25-K16</f>
        <v>0</v>
      </c>
      <c r="L40" s="33">
        <f>Budgeting!L25-L16</f>
        <v>0</v>
      </c>
      <c r="M40" s="33">
        <f>Budgeting!M25-M16</f>
        <v>0</v>
      </c>
      <c r="N40" s="33">
        <f>Budgeting!N25-N16</f>
        <v>0</v>
      </c>
      <c r="O40" s="295"/>
    </row>
    <row r="41" ht="18.75" customHeight="1">
      <c r="A41" s="295"/>
      <c r="B41" s="33" t="str">
        <f>Budgeting!B26</f>
        <v>Supplies</v>
      </c>
      <c r="C41" s="33">
        <f>Budgeting!C26-C17</f>
        <v>100000</v>
      </c>
      <c r="D41" s="33">
        <f>Budgeting!D26-D17</f>
        <v>0</v>
      </c>
      <c r="E41" s="33">
        <f>Budgeting!E26-E17</f>
        <v>0</v>
      </c>
      <c r="F41" s="33">
        <f>Budgeting!F26-F17</f>
        <v>0</v>
      </c>
      <c r="G41" s="33">
        <f>Budgeting!G26-G17</f>
        <v>0</v>
      </c>
      <c r="H41" s="33">
        <f>Budgeting!H26-H17</f>
        <v>0</v>
      </c>
      <c r="I41" s="33">
        <f>Budgeting!I26-I17</f>
        <v>0</v>
      </c>
      <c r="J41" s="33">
        <f>Budgeting!J26-J17</f>
        <v>0</v>
      </c>
      <c r="K41" s="33">
        <f>Budgeting!K26-K17</f>
        <v>0</v>
      </c>
      <c r="L41" s="33">
        <f>Budgeting!L26-L17</f>
        <v>0</v>
      </c>
      <c r="M41" s="33">
        <f>Budgeting!M26-M17</f>
        <v>0</v>
      </c>
      <c r="N41" s="33">
        <f>Budgeting!N26-N17</f>
        <v>0</v>
      </c>
      <c r="O41" s="295"/>
    </row>
    <row r="42" ht="18.75" customHeight="1">
      <c r="A42" s="295"/>
      <c r="B42" s="33" t="str">
        <f>Budgeting!B27</f>
        <v>Transportation</v>
      </c>
      <c r="C42" s="33">
        <f>Budgeting!C27-C18</f>
        <v>17500</v>
      </c>
      <c r="D42" s="33">
        <f>Budgeting!D27-D18</f>
        <v>0</v>
      </c>
      <c r="E42" s="33">
        <f>Budgeting!E27-E18</f>
        <v>0</v>
      </c>
      <c r="F42" s="33">
        <f>Budgeting!F27-F18</f>
        <v>0</v>
      </c>
      <c r="G42" s="33">
        <f>Budgeting!G27-G18</f>
        <v>0</v>
      </c>
      <c r="H42" s="33">
        <f>Budgeting!H27-H18</f>
        <v>0</v>
      </c>
      <c r="I42" s="33">
        <f>Budgeting!I27-I18</f>
        <v>0</v>
      </c>
      <c r="J42" s="33">
        <f>Budgeting!J27-J18</f>
        <v>0</v>
      </c>
      <c r="K42" s="33">
        <f>Budgeting!K27-K18</f>
        <v>0</v>
      </c>
      <c r="L42" s="33">
        <f>Budgeting!L27-L18</f>
        <v>0</v>
      </c>
      <c r="M42" s="33">
        <f>Budgeting!M27-M18</f>
        <v>0</v>
      </c>
      <c r="N42" s="33">
        <f>Budgeting!N27-N18</f>
        <v>0</v>
      </c>
      <c r="O42" s="295"/>
    </row>
    <row r="43" ht="18.75" customHeight="1">
      <c r="A43" s="295"/>
      <c r="B43" s="33" t="str">
        <f>Budgeting!B28</f>
        <v>Healthcare</v>
      </c>
      <c r="C43" s="33">
        <f>Budgeting!C28-C19</f>
        <v>100000</v>
      </c>
      <c r="D43" s="33">
        <f>Budgeting!D28-D19</f>
        <v>0</v>
      </c>
      <c r="E43" s="33">
        <f>Budgeting!E28-E19</f>
        <v>0</v>
      </c>
      <c r="F43" s="33">
        <f>Budgeting!F28-F19</f>
        <v>0</v>
      </c>
      <c r="G43" s="33">
        <f>Budgeting!G28-G19</f>
        <v>0</v>
      </c>
      <c r="H43" s="33">
        <f>Budgeting!H28-H19</f>
        <v>0</v>
      </c>
      <c r="I43" s="33">
        <f>Budgeting!I28-I19</f>
        <v>0</v>
      </c>
      <c r="J43" s="33">
        <f>Budgeting!J28-J19</f>
        <v>0</v>
      </c>
      <c r="K43" s="33">
        <f>Budgeting!K28-K19</f>
        <v>0</v>
      </c>
      <c r="L43" s="33">
        <f>Budgeting!L28-L19</f>
        <v>0</v>
      </c>
      <c r="M43" s="33">
        <f>Budgeting!M28-M19</f>
        <v>0</v>
      </c>
      <c r="N43" s="33">
        <f>Budgeting!N28-N19</f>
        <v>0</v>
      </c>
      <c r="O43" s="295"/>
    </row>
    <row r="44" ht="18.75" customHeight="1">
      <c r="A44" s="295"/>
      <c r="B44" s="33" t="str">
        <f>Budgeting!B29</f>
        <v>Debt</v>
      </c>
      <c r="C44" s="33">
        <f>Budgeting!C29-C20</f>
        <v>0</v>
      </c>
      <c r="D44" s="33">
        <f>Budgeting!D29-D20</f>
        <v>0</v>
      </c>
      <c r="E44" s="33">
        <f>Budgeting!E29-E20</f>
        <v>0</v>
      </c>
      <c r="F44" s="33">
        <f>Budgeting!F29-F20</f>
        <v>0</v>
      </c>
      <c r="G44" s="33">
        <f>Budgeting!G29-G20</f>
        <v>0</v>
      </c>
      <c r="H44" s="33">
        <f>Budgeting!H29-H20</f>
        <v>0</v>
      </c>
      <c r="I44" s="33">
        <f>Budgeting!I29-I20</f>
        <v>0</v>
      </c>
      <c r="J44" s="33">
        <f>Budgeting!J29-J20</f>
        <v>0</v>
      </c>
      <c r="K44" s="33">
        <f>Budgeting!K29-K20</f>
        <v>0</v>
      </c>
      <c r="L44" s="33">
        <f>Budgeting!L29-L20</f>
        <v>0</v>
      </c>
      <c r="M44" s="33">
        <f>Budgeting!M29-M20</f>
        <v>0</v>
      </c>
      <c r="N44" s="33">
        <f>Budgeting!N29-N20</f>
        <v>0</v>
      </c>
      <c r="O44" s="295"/>
    </row>
    <row r="45" ht="18.75" customHeight="1">
      <c r="A45" s="295"/>
      <c r="B45" s="33" t="str">
        <f>Budgeting!B30</f>
        <v>Needs 8</v>
      </c>
      <c r="C45" s="33">
        <f>Budgeting!C30-C21</f>
        <v>0</v>
      </c>
      <c r="D45" s="33">
        <f>Budgeting!D30-D21</f>
        <v>0</v>
      </c>
      <c r="E45" s="33">
        <f>Budgeting!E30-E21</f>
        <v>0</v>
      </c>
      <c r="F45" s="33">
        <f>Budgeting!F30-F21</f>
        <v>0</v>
      </c>
      <c r="G45" s="33">
        <f>Budgeting!G30-G21</f>
        <v>0</v>
      </c>
      <c r="H45" s="33">
        <f>Budgeting!H30-H21</f>
        <v>0</v>
      </c>
      <c r="I45" s="33">
        <f>Budgeting!I30-I21</f>
        <v>0</v>
      </c>
      <c r="J45" s="33">
        <f>Budgeting!J30-J21</f>
        <v>0</v>
      </c>
      <c r="K45" s="33">
        <f>Budgeting!K30-K21</f>
        <v>0</v>
      </c>
      <c r="L45" s="33">
        <f>Budgeting!L30-L21</f>
        <v>0</v>
      </c>
      <c r="M45" s="33">
        <f>Budgeting!M30-M21</f>
        <v>0</v>
      </c>
      <c r="N45" s="33">
        <f>Budgeting!N30-N21</f>
        <v>0</v>
      </c>
      <c r="O45" s="295"/>
    </row>
    <row r="46" ht="18.75" customHeight="1">
      <c r="A46" s="295"/>
      <c r="B46" s="33" t="str">
        <f>Budgeting!B31</f>
        <v>Needs 9</v>
      </c>
      <c r="C46" s="33">
        <f>Budgeting!C31-C22</f>
        <v>0</v>
      </c>
      <c r="D46" s="33">
        <f>Budgeting!D31-D22</f>
        <v>0</v>
      </c>
      <c r="E46" s="33">
        <f>Budgeting!E31-E22</f>
        <v>0</v>
      </c>
      <c r="F46" s="33">
        <f>Budgeting!F31-F22</f>
        <v>0</v>
      </c>
      <c r="G46" s="33">
        <f>Budgeting!G31-G22</f>
        <v>0</v>
      </c>
      <c r="H46" s="33">
        <f>Budgeting!H31-H22</f>
        <v>0</v>
      </c>
      <c r="I46" s="33">
        <f>Budgeting!I31-I22</f>
        <v>0</v>
      </c>
      <c r="J46" s="33">
        <f>Budgeting!J31-J22</f>
        <v>0</v>
      </c>
      <c r="K46" s="33">
        <f>Budgeting!K31-K22</f>
        <v>0</v>
      </c>
      <c r="L46" s="33">
        <f>Budgeting!L31-L22</f>
        <v>0</v>
      </c>
      <c r="M46" s="33">
        <f>Budgeting!M31-M22</f>
        <v>0</v>
      </c>
      <c r="N46" s="33">
        <f>Budgeting!N31-N22</f>
        <v>0</v>
      </c>
      <c r="O46" s="295"/>
    </row>
    <row r="47" ht="18.75" customHeight="1">
      <c r="A47" s="295"/>
      <c r="B47" s="33" t="str">
        <f>Budgeting!B32</f>
        <v>Needs 10</v>
      </c>
      <c r="C47" s="33">
        <f>Budgeting!C32-C23</f>
        <v>0</v>
      </c>
      <c r="D47" s="33">
        <f>Budgeting!D32-D23</f>
        <v>0</v>
      </c>
      <c r="E47" s="33">
        <f>Budgeting!E32-E23</f>
        <v>0</v>
      </c>
      <c r="F47" s="33">
        <f>Budgeting!F32-F23</f>
        <v>0</v>
      </c>
      <c r="G47" s="33">
        <f>Budgeting!G32-G23</f>
        <v>0</v>
      </c>
      <c r="H47" s="33">
        <f>Budgeting!H32-H23</f>
        <v>0</v>
      </c>
      <c r="I47" s="33">
        <f>Budgeting!I32-I23</f>
        <v>0</v>
      </c>
      <c r="J47" s="33">
        <f>Budgeting!J32-J23</f>
        <v>0</v>
      </c>
      <c r="K47" s="33">
        <f>Budgeting!K32-K23</f>
        <v>0</v>
      </c>
      <c r="L47" s="33">
        <f>Budgeting!L32-L23</f>
        <v>0</v>
      </c>
      <c r="M47" s="33">
        <f>Budgeting!M32-M23</f>
        <v>0</v>
      </c>
      <c r="N47" s="33">
        <f>Budgeting!N32-N23</f>
        <v>0</v>
      </c>
      <c r="O47" s="295"/>
    </row>
    <row r="48" ht="18.75" customHeight="1">
      <c r="A48" s="295"/>
      <c r="B48" s="33" t="str">
        <f>Budgeting!B33</f>
        <v>Shopping</v>
      </c>
      <c r="C48" s="33">
        <f>Budgeting!C33-C24</f>
        <v>200000</v>
      </c>
      <c r="D48" s="33">
        <f>Budgeting!D33-D24</f>
        <v>0</v>
      </c>
      <c r="E48" s="33">
        <f>Budgeting!E33-E24</f>
        <v>0</v>
      </c>
      <c r="F48" s="33">
        <f>Budgeting!F33-F24</f>
        <v>0</v>
      </c>
      <c r="G48" s="33">
        <f>Budgeting!G33-G24</f>
        <v>0</v>
      </c>
      <c r="H48" s="33">
        <f>Budgeting!H33-H24</f>
        <v>0</v>
      </c>
      <c r="I48" s="33">
        <f>Budgeting!I33-I24</f>
        <v>0</v>
      </c>
      <c r="J48" s="33">
        <f>Budgeting!J33-J24</f>
        <v>0</v>
      </c>
      <c r="K48" s="33">
        <f>Budgeting!K33-K24</f>
        <v>0</v>
      </c>
      <c r="L48" s="33">
        <f>Budgeting!L33-L24</f>
        <v>0</v>
      </c>
      <c r="M48" s="33">
        <f>Budgeting!M33-M24</f>
        <v>0</v>
      </c>
      <c r="N48" s="33">
        <f>Budgeting!N33-N24</f>
        <v>0</v>
      </c>
      <c r="O48" s="295"/>
    </row>
    <row r="49" ht="18.75" customHeight="1">
      <c r="A49" s="295"/>
      <c r="B49" s="33" t="str">
        <f>Budgeting!B34</f>
        <v>Entertaiment</v>
      </c>
      <c r="C49" s="33">
        <f>Budgeting!C34-C25</f>
        <v>22000</v>
      </c>
      <c r="D49" s="33">
        <f>Budgeting!D34-D25</f>
        <v>0</v>
      </c>
      <c r="E49" s="33">
        <f>Budgeting!E34-E25</f>
        <v>0</v>
      </c>
      <c r="F49" s="33">
        <f>Budgeting!F34-F25</f>
        <v>0</v>
      </c>
      <c r="G49" s="33">
        <f>Budgeting!G34-G25</f>
        <v>0</v>
      </c>
      <c r="H49" s="33">
        <f>Budgeting!H34-H25</f>
        <v>0</v>
      </c>
      <c r="I49" s="33">
        <f>Budgeting!I34-I25</f>
        <v>0</v>
      </c>
      <c r="J49" s="33">
        <f>Budgeting!J34-J25</f>
        <v>0</v>
      </c>
      <c r="K49" s="33">
        <f>Budgeting!K34-K25</f>
        <v>0</v>
      </c>
      <c r="L49" s="33">
        <f>Budgeting!L34-L25</f>
        <v>0</v>
      </c>
      <c r="M49" s="33">
        <f>Budgeting!M34-M25</f>
        <v>0</v>
      </c>
      <c r="N49" s="33">
        <f>Budgeting!N34-N25</f>
        <v>0</v>
      </c>
      <c r="O49" s="295"/>
    </row>
    <row r="50" ht="18.75" customHeight="1">
      <c r="A50" s="295"/>
      <c r="B50" s="33" t="str">
        <f>Budgeting!B35</f>
        <v>Gifts</v>
      </c>
      <c r="C50" s="33">
        <f>Budgeting!C35-C26</f>
        <v>150000</v>
      </c>
      <c r="D50" s="33">
        <f>Budgeting!D35-D26</f>
        <v>0</v>
      </c>
      <c r="E50" s="33">
        <f>Budgeting!E35-E26</f>
        <v>0</v>
      </c>
      <c r="F50" s="33">
        <f>Budgeting!F35-F26</f>
        <v>0</v>
      </c>
      <c r="G50" s="33">
        <f>Budgeting!G35-G26</f>
        <v>0</v>
      </c>
      <c r="H50" s="33">
        <f>Budgeting!H35-H26</f>
        <v>0</v>
      </c>
      <c r="I50" s="33">
        <f>Budgeting!I35-I26</f>
        <v>0</v>
      </c>
      <c r="J50" s="33">
        <f>Budgeting!J35-J26</f>
        <v>0</v>
      </c>
      <c r="K50" s="33">
        <f>Budgeting!K35-K26</f>
        <v>0</v>
      </c>
      <c r="L50" s="33">
        <f>Budgeting!L35-L26</f>
        <v>0</v>
      </c>
      <c r="M50" s="33">
        <f>Budgeting!M35-M26</f>
        <v>0</v>
      </c>
      <c r="N50" s="33">
        <f>Budgeting!N35-N26</f>
        <v>0</v>
      </c>
      <c r="O50" s="295"/>
    </row>
    <row r="51" ht="18.75" customHeight="1">
      <c r="A51" s="295"/>
      <c r="B51" s="33" t="str">
        <f>Budgeting!B36</f>
        <v>Travel	</v>
      </c>
      <c r="C51" s="33">
        <f>Budgeting!C36-C27</f>
        <v>0</v>
      </c>
      <c r="D51" s="33">
        <f>Budgeting!D36-D27</f>
        <v>0</v>
      </c>
      <c r="E51" s="33">
        <f>Budgeting!E36-E27</f>
        <v>0</v>
      </c>
      <c r="F51" s="33">
        <f>Budgeting!F36-F27</f>
        <v>0</v>
      </c>
      <c r="G51" s="33">
        <f>Budgeting!G36-G27</f>
        <v>0</v>
      </c>
      <c r="H51" s="33">
        <f>Budgeting!H36-H27</f>
        <v>0</v>
      </c>
      <c r="I51" s="33">
        <f>Budgeting!I36-I27</f>
        <v>0</v>
      </c>
      <c r="J51" s="33">
        <f>Budgeting!J36-J27</f>
        <v>0</v>
      </c>
      <c r="K51" s="33">
        <f>Budgeting!K36-K27</f>
        <v>0</v>
      </c>
      <c r="L51" s="33">
        <f>Budgeting!L36-L27</f>
        <v>0</v>
      </c>
      <c r="M51" s="33">
        <f>Budgeting!M36-M27</f>
        <v>0</v>
      </c>
      <c r="N51" s="33">
        <f>Budgeting!N36-N27</f>
        <v>0</v>
      </c>
      <c r="O51" s="295"/>
    </row>
    <row r="52" ht="18.75" customHeight="1">
      <c r="A52" s="295"/>
      <c r="B52" s="33" t="str">
        <f>Budgeting!B37</f>
        <v>Wants 5</v>
      </c>
      <c r="C52" s="33">
        <f>Budgeting!C37-C28</f>
        <v>0</v>
      </c>
      <c r="D52" s="33">
        <f>Budgeting!D37-D28</f>
        <v>0</v>
      </c>
      <c r="E52" s="33">
        <f>Budgeting!E37-E28</f>
        <v>0</v>
      </c>
      <c r="F52" s="33">
        <f>Budgeting!F37-F28</f>
        <v>0</v>
      </c>
      <c r="G52" s="33">
        <f>Budgeting!G37-G28</f>
        <v>0</v>
      </c>
      <c r="H52" s="33">
        <f>Budgeting!H37-H28</f>
        <v>0</v>
      </c>
      <c r="I52" s="33">
        <f>Budgeting!I37-I28</f>
        <v>0</v>
      </c>
      <c r="J52" s="33">
        <f>Budgeting!J37-J28</f>
        <v>0</v>
      </c>
      <c r="K52" s="33">
        <f>Budgeting!K37-K28</f>
        <v>0</v>
      </c>
      <c r="L52" s="33">
        <f>Budgeting!L37-L28</f>
        <v>0</v>
      </c>
      <c r="M52" s="33">
        <f>Budgeting!M37-M28</f>
        <v>0</v>
      </c>
      <c r="N52" s="33">
        <f>Budgeting!N37-N28</f>
        <v>0</v>
      </c>
      <c r="O52" s="295"/>
    </row>
    <row r="53" ht="18.75" customHeight="1">
      <c r="A53" s="295"/>
      <c r="B53" s="33" t="str">
        <f>Budgeting!B38</f>
        <v>Wants 6</v>
      </c>
      <c r="C53" s="33">
        <f>Budgeting!C38-C29</f>
        <v>0</v>
      </c>
      <c r="D53" s="33">
        <f>Budgeting!D38-D29</f>
        <v>0</v>
      </c>
      <c r="E53" s="33">
        <f>Budgeting!E38-E29</f>
        <v>0</v>
      </c>
      <c r="F53" s="33">
        <f>Budgeting!F38-F29</f>
        <v>0</v>
      </c>
      <c r="G53" s="33">
        <f>Budgeting!G38-G29</f>
        <v>0</v>
      </c>
      <c r="H53" s="33">
        <f>Budgeting!H38-H29</f>
        <v>0</v>
      </c>
      <c r="I53" s="33">
        <f>Budgeting!I38-I29</f>
        <v>0</v>
      </c>
      <c r="J53" s="33">
        <f>Budgeting!J38-J29</f>
        <v>0</v>
      </c>
      <c r="K53" s="33">
        <f>Budgeting!K38-K29</f>
        <v>0</v>
      </c>
      <c r="L53" s="33">
        <f>Budgeting!L38-L29</f>
        <v>0</v>
      </c>
      <c r="M53" s="33">
        <f>Budgeting!M38-M29</f>
        <v>0</v>
      </c>
      <c r="N53" s="33">
        <f>Budgeting!N38-N29</f>
        <v>0</v>
      </c>
      <c r="O53" s="295"/>
    </row>
    <row r="54" ht="18.75" customHeight="1">
      <c r="A54" s="295"/>
      <c r="B54" s="33" t="str">
        <f>Budgeting!B39</f>
        <v>Wants 7</v>
      </c>
      <c r="C54" s="33">
        <f>Budgeting!C39-C30</f>
        <v>0</v>
      </c>
      <c r="D54" s="33">
        <f>Budgeting!D39-D30</f>
        <v>0</v>
      </c>
      <c r="E54" s="33">
        <f>Budgeting!E39-E30</f>
        <v>0</v>
      </c>
      <c r="F54" s="33">
        <f>Budgeting!F39-F30</f>
        <v>0</v>
      </c>
      <c r="G54" s="33">
        <f>Budgeting!G39-G30</f>
        <v>0</v>
      </c>
      <c r="H54" s="33">
        <f>Budgeting!H39-H30</f>
        <v>0</v>
      </c>
      <c r="I54" s="33">
        <f>Budgeting!I39-I30</f>
        <v>0</v>
      </c>
      <c r="J54" s="33">
        <f>Budgeting!J39-J30</f>
        <v>0</v>
      </c>
      <c r="K54" s="33">
        <f>Budgeting!K39-K30</f>
        <v>0</v>
      </c>
      <c r="L54" s="33">
        <f>Budgeting!L39-L30</f>
        <v>0</v>
      </c>
      <c r="M54" s="33">
        <f>Budgeting!M39-M30</f>
        <v>0</v>
      </c>
      <c r="N54" s="33">
        <f>Budgeting!N39-N30</f>
        <v>0</v>
      </c>
      <c r="O54" s="295"/>
    </row>
    <row r="55" ht="18.75" customHeight="1">
      <c r="A55" s="295"/>
      <c r="B55" s="33" t="str">
        <f>Budgeting!B40</f>
        <v>Wants 8</v>
      </c>
      <c r="C55" s="33">
        <f>Budgeting!C40-C31</f>
        <v>0</v>
      </c>
      <c r="D55" s="33">
        <f>Budgeting!D40-D31</f>
        <v>0</v>
      </c>
      <c r="E55" s="33">
        <f>Budgeting!E40-E31</f>
        <v>0</v>
      </c>
      <c r="F55" s="33">
        <f>Budgeting!F40-F31</f>
        <v>0</v>
      </c>
      <c r="G55" s="33">
        <f>Budgeting!G40-G31</f>
        <v>0</v>
      </c>
      <c r="H55" s="33">
        <f>Budgeting!H40-H31</f>
        <v>0</v>
      </c>
      <c r="I55" s="33">
        <f>Budgeting!I40-I31</f>
        <v>0</v>
      </c>
      <c r="J55" s="33">
        <f>Budgeting!J40-J31</f>
        <v>0</v>
      </c>
      <c r="K55" s="33">
        <f>Budgeting!K40-K31</f>
        <v>0</v>
      </c>
      <c r="L55" s="33">
        <f>Budgeting!L40-L31</f>
        <v>0</v>
      </c>
      <c r="M55" s="33">
        <f>Budgeting!M40-M31</f>
        <v>0</v>
      </c>
      <c r="N55" s="33">
        <f>Budgeting!N40-N31</f>
        <v>0</v>
      </c>
      <c r="O55" s="295"/>
    </row>
    <row r="56" ht="18.75" customHeight="1">
      <c r="A56" s="295"/>
      <c r="B56" s="33" t="str">
        <f>Budgeting!B41</f>
        <v>Wants 9</v>
      </c>
      <c r="C56" s="33">
        <f>Budgeting!C41-C32</f>
        <v>0</v>
      </c>
      <c r="D56" s="33">
        <f>Budgeting!D41-D32</f>
        <v>0</v>
      </c>
      <c r="E56" s="33">
        <f>Budgeting!E41-E32</f>
        <v>0</v>
      </c>
      <c r="F56" s="33">
        <f>Budgeting!F41-F32</f>
        <v>0</v>
      </c>
      <c r="G56" s="33">
        <f>Budgeting!G41-G32</f>
        <v>0</v>
      </c>
      <c r="H56" s="33">
        <f>Budgeting!H41-H32</f>
        <v>0</v>
      </c>
      <c r="I56" s="33">
        <f>Budgeting!I41-I32</f>
        <v>0</v>
      </c>
      <c r="J56" s="33">
        <f>Budgeting!J41-J32</f>
        <v>0</v>
      </c>
      <c r="K56" s="33">
        <f>Budgeting!K41-K32</f>
        <v>0</v>
      </c>
      <c r="L56" s="33">
        <f>Budgeting!L41-L32</f>
        <v>0</v>
      </c>
      <c r="M56" s="33">
        <f>Budgeting!M41-M32</f>
        <v>0</v>
      </c>
      <c r="N56" s="33">
        <f>Budgeting!N41-N32</f>
        <v>0</v>
      </c>
      <c r="O56" s="295"/>
    </row>
    <row r="57" ht="18.75" customHeight="1">
      <c r="A57" s="295"/>
      <c r="B57" s="33" t="str">
        <f>Budgeting!B42</f>
        <v>Wants 10</v>
      </c>
      <c r="C57" s="33">
        <f>Budgeting!C42-C33</f>
        <v>0</v>
      </c>
      <c r="D57" s="33">
        <f>Budgeting!D42-D33</f>
        <v>0</v>
      </c>
      <c r="E57" s="33">
        <f>Budgeting!E42-E33</f>
        <v>0</v>
      </c>
      <c r="F57" s="33">
        <f>Budgeting!F42-F33</f>
        <v>0</v>
      </c>
      <c r="G57" s="33">
        <f>Budgeting!G42-G33</f>
        <v>0</v>
      </c>
      <c r="H57" s="33">
        <f>Budgeting!H42-H33</f>
        <v>0</v>
      </c>
      <c r="I57" s="33">
        <f>Budgeting!I42-I33</f>
        <v>0</v>
      </c>
      <c r="J57" s="33">
        <f>Budgeting!J42-J33</f>
        <v>0</v>
      </c>
      <c r="K57" s="33">
        <f>Budgeting!K42-K33</f>
        <v>0</v>
      </c>
      <c r="L57" s="33">
        <f>Budgeting!L42-L33</f>
        <v>0</v>
      </c>
      <c r="M57" s="33">
        <f>Budgeting!M42-M33</f>
        <v>0</v>
      </c>
      <c r="N57" s="33">
        <f>Budgeting!N42-N33</f>
        <v>0</v>
      </c>
      <c r="O57" s="295"/>
    </row>
    <row r="58" ht="26.25" customHeight="1">
      <c r="A58" s="310"/>
      <c r="B58" s="48" t="s">
        <v>22</v>
      </c>
      <c r="C58" s="129">
        <f t="shared" ref="C58:N58" si="2">SUM(C38:C57)</f>
        <v>1216500</v>
      </c>
      <c r="D58" s="129">
        <f t="shared" si="2"/>
        <v>0</v>
      </c>
      <c r="E58" s="129">
        <f t="shared" si="2"/>
        <v>0</v>
      </c>
      <c r="F58" s="129">
        <f t="shared" si="2"/>
        <v>0</v>
      </c>
      <c r="G58" s="129">
        <f t="shared" si="2"/>
        <v>0</v>
      </c>
      <c r="H58" s="129">
        <f t="shared" si="2"/>
        <v>0</v>
      </c>
      <c r="I58" s="129">
        <f t="shared" si="2"/>
        <v>0</v>
      </c>
      <c r="J58" s="129">
        <f t="shared" si="2"/>
        <v>0</v>
      </c>
      <c r="K58" s="129">
        <f t="shared" si="2"/>
        <v>0</v>
      </c>
      <c r="L58" s="129">
        <f t="shared" si="2"/>
        <v>0</v>
      </c>
      <c r="M58" s="129">
        <f t="shared" si="2"/>
        <v>0</v>
      </c>
      <c r="N58" s="129">
        <f t="shared" si="2"/>
        <v>0</v>
      </c>
      <c r="O58" s="310"/>
    </row>
    <row r="59" ht="11.25" customHeight="1">
      <c r="A59" s="295"/>
      <c r="B59" s="295"/>
      <c r="C59" s="297"/>
      <c r="D59" s="297"/>
      <c r="E59" s="297"/>
      <c r="F59" s="297"/>
      <c r="G59" s="297"/>
      <c r="H59" s="297"/>
      <c r="I59" s="297"/>
      <c r="J59" s="297"/>
      <c r="K59" s="297"/>
      <c r="L59" s="297"/>
      <c r="M59" s="297"/>
      <c r="N59" s="297"/>
      <c r="O59" s="295"/>
    </row>
  </sheetData>
  <mergeCells count="3">
    <mergeCell ref="B4:N4"/>
    <mergeCell ref="B8:N8"/>
    <mergeCell ref="B36:N36"/>
  </mergeCells>
  <conditionalFormatting sqref="B6:N6 B10:N10 B34:N34 B58:N58">
    <cfRule type="cellIs" dxfId="26" priority="1" operator="equal">
      <formula>0</formula>
    </cfRule>
  </conditionalFormatting>
  <conditionalFormatting sqref="B3:N58">
    <cfRule type="beginsWith" dxfId="3" priority="2" operator="beginsWith" text="-">
      <formula>LEFT((B3),LEN("-"))=("-")</formula>
    </cfRule>
  </conditionalFormatting>
  <conditionalFormatting sqref="B3:N58">
    <cfRule type="cellIs" dxfId="27" priority="3" operator="equal">
      <formula>0</formula>
    </cfRule>
  </conditionalFormatting>
  <conditionalFormatting sqref="C14:N33">
    <cfRule type="colorScale" priority="4">
      <colorScale>
        <cfvo type="min"/>
        <cfvo type="max"/>
        <color rgb="FFFFFFFF"/>
        <color rgb="FFFFF1DC"/>
      </colorScale>
    </cfRule>
  </conditionalFormatting>
  <conditionalFormatting sqref="B2:N2">
    <cfRule type="cellIs" dxfId="2" priority="5" operator="equal">
      <formula>TEXT(TODAY(), "MMMM")</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sheetViews>
  <sheetFormatPr customHeight="1" defaultColWidth="12.63" defaultRowHeight="15.75"/>
  <cols>
    <col customWidth="1" min="1" max="1" width="2.0"/>
    <col customWidth="1" min="2" max="2" width="17.63"/>
    <col customWidth="1" min="3" max="3" width="24.63"/>
    <col customWidth="1" min="4" max="6" width="17.0"/>
    <col customWidth="1" min="7" max="9" width="17.63"/>
    <col customWidth="1" min="10" max="10" width="2.0"/>
  </cols>
  <sheetData>
    <row r="1" ht="11.25" customHeight="1">
      <c r="A1" s="1"/>
      <c r="B1" s="1"/>
      <c r="C1" s="1"/>
      <c r="D1" s="303"/>
      <c r="E1" s="303"/>
      <c r="F1" s="1"/>
      <c r="G1" s="1"/>
      <c r="H1" s="1"/>
      <c r="I1" s="1"/>
      <c r="J1" s="1"/>
    </row>
    <row r="2" ht="26.25" customHeight="1">
      <c r="A2" s="304"/>
      <c r="B2" s="306" t="s">
        <v>96</v>
      </c>
      <c r="C2" s="306" t="s">
        <v>97</v>
      </c>
      <c r="D2" s="308" t="s">
        <v>98</v>
      </c>
      <c r="E2" s="308" t="s">
        <v>99</v>
      </c>
      <c r="F2" s="311" t="s">
        <v>90</v>
      </c>
      <c r="G2" s="313" t="s">
        <v>100</v>
      </c>
      <c r="H2" s="313" t="s">
        <v>101</v>
      </c>
      <c r="I2" s="313" t="s">
        <v>102</v>
      </c>
      <c r="J2" s="304"/>
    </row>
    <row r="3">
      <c r="A3" s="1"/>
      <c r="B3" s="314" t="s">
        <v>103</v>
      </c>
      <c r="C3" s="314" t="s">
        <v>104</v>
      </c>
      <c r="D3" s="315" t="s">
        <v>105</v>
      </c>
      <c r="E3" s="315" t="s">
        <v>106</v>
      </c>
      <c r="F3" s="317" t="s">
        <v>107</v>
      </c>
      <c r="G3" s="317" t="s">
        <v>81</v>
      </c>
      <c r="H3" s="317" t="s">
        <v>34</v>
      </c>
      <c r="I3" s="318">
        <v>45590.0</v>
      </c>
      <c r="J3" s="1"/>
    </row>
    <row r="4">
      <c r="A4" s="1"/>
      <c r="B4" s="317" t="s">
        <v>85</v>
      </c>
      <c r="C4" s="317" t="s">
        <v>108</v>
      </c>
      <c r="D4" s="315" t="s">
        <v>61</v>
      </c>
      <c r="E4" s="315" t="s">
        <v>50</v>
      </c>
      <c r="F4" s="317" t="s">
        <v>109</v>
      </c>
      <c r="G4" s="317" t="s">
        <v>85</v>
      </c>
      <c r="H4" s="317" t="s">
        <v>110</v>
      </c>
      <c r="I4" s="319"/>
      <c r="J4" s="1"/>
    </row>
    <row r="5">
      <c r="A5" s="1"/>
      <c r="B5" s="317" t="s">
        <v>83</v>
      </c>
      <c r="C5" s="320" t="s">
        <v>111</v>
      </c>
      <c r="D5" s="315" t="s">
        <v>46</v>
      </c>
      <c r="E5" s="315" t="s">
        <v>112</v>
      </c>
      <c r="F5" s="317" t="s">
        <v>113</v>
      </c>
      <c r="G5" s="317" t="s">
        <v>83</v>
      </c>
      <c r="H5" s="317" t="s">
        <v>114</v>
      </c>
      <c r="I5" s="319"/>
      <c r="J5" s="1"/>
    </row>
    <row r="6">
      <c r="A6" s="1"/>
      <c r="B6" s="320"/>
      <c r="C6" s="320" t="s">
        <v>115</v>
      </c>
      <c r="D6" s="315" t="s">
        <v>48</v>
      </c>
      <c r="E6" s="315" t="s">
        <v>116</v>
      </c>
      <c r="F6" s="317" t="s">
        <v>117</v>
      </c>
      <c r="G6" s="317" t="s">
        <v>88</v>
      </c>
      <c r="H6" s="317" t="s">
        <v>118</v>
      </c>
      <c r="I6" s="319"/>
      <c r="J6" s="1"/>
    </row>
    <row r="7">
      <c r="A7" s="1"/>
      <c r="B7" s="320"/>
      <c r="C7" s="320" t="s">
        <v>119</v>
      </c>
      <c r="D7" s="315" t="s">
        <v>52</v>
      </c>
      <c r="E7" s="315" t="s">
        <v>120</v>
      </c>
      <c r="F7" s="317" t="s">
        <v>121</v>
      </c>
      <c r="G7" s="317" t="s">
        <v>82</v>
      </c>
      <c r="H7" s="317" t="s">
        <v>122</v>
      </c>
      <c r="I7" s="319"/>
      <c r="J7" s="1"/>
    </row>
    <row r="8">
      <c r="A8" s="1"/>
      <c r="B8" s="321"/>
      <c r="C8" s="321"/>
      <c r="D8" s="315" t="s">
        <v>55</v>
      </c>
      <c r="E8" s="315" t="s">
        <v>123</v>
      </c>
      <c r="F8" s="317"/>
      <c r="G8" s="317" t="s">
        <v>86</v>
      </c>
      <c r="H8" s="317" t="s">
        <v>124</v>
      </c>
      <c r="I8" s="319"/>
      <c r="J8" s="1"/>
    </row>
    <row r="9">
      <c r="A9" s="1"/>
      <c r="B9" s="321"/>
      <c r="C9" s="321"/>
      <c r="D9" s="315" t="s">
        <v>125</v>
      </c>
      <c r="E9" s="315" t="s">
        <v>126</v>
      </c>
      <c r="F9" s="317"/>
      <c r="G9" s="317" t="s">
        <v>127</v>
      </c>
      <c r="H9" s="317" t="s">
        <v>128</v>
      </c>
      <c r="I9" s="319"/>
      <c r="J9" s="1"/>
    </row>
    <row r="10">
      <c r="A10" s="1"/>
      <c r="B10" s="321"/>
      <c r="C10" s="321"/>
      <c r="D10" s="315" t="s">
        <v>129</v>
      </c>
      <c r="E10" s="315" t="s">
        <v>130</v>
      </c>
      <c r="F10" s="317"/>
      <c r="G10" s="317" t="s">
        <v>131</v>
      </c>
      <c r="H10" s="317" t="s">
        <v>132</v>
      </c>
      <c r="I10" s="319"/>
      <c r="J10" s="1"/>
    </row>
    <row r="11">
      <c r="A11" s="1"/>
      <c r="B11" s="321"/>
      <c r="C11" s="321"/>
      <c r="D11" s="315" t="s">
        <v>133</v>
      </c>
      <c r="E11" s="315" t="s">
        <v>134</v>
      </c>
      <c r="F11" s="317"/>
      <c r="G11" s="317" t="s">
        <v>135</v>
      </c>
      <c r="H11" s="317" t="s">
        <v>136</v>
      </c>
      <c r="I11" s="319"/>
      <c r="J11" s="1"/>
    </row>
    <row r="12">
      <c r="A12" s="1"/>
      <c r="B12" s="321"/>
      <c r="C12" s="321"/>
      <c r="D12" s="315" t="s">
        <v>137</v>
      </c>
      <c r="E12" s="315" t="s">
        <v>138</v>
      </c>
      <c r="F12" s="317"/>
      <c r="G12" s="317"/>
      <c r="H12" s="317" t="s">
        <v>139</v>
      </c>
      <c r="I12" s="319"/>
      <c r="J12" s="1"/>
    </row>
    <row r="13">
      <c r="A13" s="1"/>
      <c r="B13" s="321"/>
      <c r="C13" s="321"/>
      <c r="D13" s="315"/>
      <c r="E13" s="315" t="s">
        <v>140</v>
      </c>
      <c r="F13" s="317"/>
      <c r="G13" s="317"/>
      <c r="H13" s="317" t="s">
        <v>141</v>
      </c>
      <c r="I13" s="319"/>
      <c r="J13" s="1"/>
    </row>
    <row r="14">
      <c r="A14" s="1"/>
      <c r="B14" s="321"/>
      <c r="C14" s="321"/>
      <c r="D14" s="315"/>
      <c r="E14" s="315"/>
      <c r="F14" s="317"/>
      <c r="G14" s="317"/>
      <c r="H14" s="317" t="s">
        <v>142</v>
      </c>
      <c r="I14" s="319"/>
      <c r="J14" s="1"/>
    </row>
    <row r="15">
      <c r="A15" s="1"/>
      <c r="B15" s="321"/>
      <c r="C15" s="321"/>
      <c r="D15" s="315"/>
      <c r="E15" s="315"/>
      <c r="F15" s="317"/>
      <c r="G15" s="317"/>
      <c r="H15" s="317"/>
      <c r="I15" s="319"/>
      <c r="J15" s="1"/>
    </row>
    <row r="16">
      <c r="A16" s="1"/>
      <c r="B16" s="321"/>
      <c r="C16" s="321"/>
      <c r="D16" s="315"/>
      <c r="E16" s="315"/>
      <c r="F16" s="317"/>
      <c r="G16" s="317"/>
      <c r="H16" s="317"/>
      <c r="I16" s="319"/>
      <c r="J16" s="1"/>
    </row>
    <row r="17">
      <c r="A17" s="1"/>
      <c r="B17" s="321"/>
      <c r="C17" s="321"/>
      <c r="D17" s="315"/>
      <c r="E17" s="315"/>
      <c r="F17" s="317"/>
      <c r="G17" s="317"/>
      <c r="H17" s="317"/>
      <c r="I17" s="319"/>
      <c r="J17" s="1"/>
    </row>
    <row r="18">
      <c r="A18" s="1"/>
      <c r="B18" s="321"/>
      <c r="C18" s="321"/>
      <c r="D18" s="315"/>
      <c r="E18" s="315"/>
      <c r="F18" s="317"/>
      <c r="G18" s="317"/>
      <c r="H18" s="317"/>
      <c r="I18" s="319"/>
      <c r="J18" s="1"/>
    </row>
    <row r="19">
      <c r="A19" s="1"/>
      <c r="B19" s="321"/>
      <c r="C19" s="321"/>
      <c r="D19" s="315"/>
      <c r="E19" s="315"/>
      <c r="F19" s="317"/>
      <c r="G19" s="317"/>
      <c r="H19" s="317"/>
      <c r="I19" s="319"/>
      <c r="J19" s="1"/>
    </row>
    <row r="20">
      <c r="A20" s="1"/>
      <c r="B20" s="321"/>
      <c r="C20" s="321"/>
      <c r="D20" s="315"/>
      <c r="E20" s="315"/>
      <c r="F20" s="317"/>
      <c r="G20" s="317"/>
      <c r="H20" s="317"/>
      <c r="I20" s="319"/>
      <c r="J20" s="1"/>
    </row>
    <row r="21">
      <c r="A21" s="1"/>
      <c r="B21" s="321"/>
      <c r="C21" s="321"/>
      <c r="D21" s="315"/>
      <c r="E21" s="315"/>
      <c r="F21" s="317"/>
      <c r="G21" s="317"/>
      <c r="H21" s="317"/>
      <c r="I21" s="319"/>
      <c r="J21" s="1"/>
    </row>
    <row r="22">
      <c r="A22" s="1"/>
      <c r="B22" s="321"/>
      <c r="C22" s="321"/>
      <c r="D22" s="315"/>
      <c r="E22" s="315"/>
      <c r="F22" s="317"/>
      <c r="G22" s="317"/>
      <c r="H22" s="317"/>
      <c r="I22" s="319"/>
      <c r="J22" s="1"/>
    </row>
    <row r="23">
      <c r="A23" s="1"/>
      <c r="B23" s="321"/>
      <c r="C23" s="321"/>
      <c r="D23" s="321"/>
      <c r="E23" s="321"/>
      <c r="F23" s="321"/>
      <c r="G23" s="321"/>
      <c r="H23" s="321"/>
      <c r="I23" s="319"/>
      <c r="J23" s="1"/>
    </row>
    <row r="24">
      <c r="A24" s="1"/>
      <c r="B24" s="321"/>
      <c r="C24" s="321"/>
      <c r="D24" s="323"/>
      <c r="E24" s="323"/>
      <c r="F24" s="317"/>
      <c r="G24" s="317"/>
      <c r="H24" s="317"/>
      <c r="I24" s="319"/>
      <c r="J24" s="1"/>
    </row>
    <row r="25">
      <c r="A25" s="1"/>
      <c r="B25" s="321"/>
      <c r="C25" s="321"/>
      <c r="D25" s="323"/>
      <c r="E25" s="323"/>
      <c r="F25" s="317"/>
      <c r="G25" s="317"/>
      <c r="H25" s="317"/>
      <c r="I25" s="319"/>
      <c r="J25" s="1"/>
    </row>
    <row r="26">
      <c r="A26" s="1"/>
      <c r="B26" s="1"/>
      <c r="C26" s="1"/>
      <c r="D26" s="38"/>
      <c r="E26" s="38"/>
      <c r="F26" s="82"/>
      <c r="G26" s="82"/>
      <c r="H26" s="82"/>
      <c r="I26" s="82"/>
      <c r="J26" s="1"/>
    </row>
    <row r="27">
      <c r="A27" s="1"/>
      <c r="B27" s="1"/>
      <c r="C27" s="1"/>
      <c r="D27" s="38"/>
      <c r="E27" s="38"/>
      <c r="F27" s="82"/>
      <c r="G27" s="82"/>
      <c r="H27" s="82"/>
      <c r="I27" s="82"/>
      <c r="J27" s="1"/>
    </row>
    <row r="28">
      <c r="A28" s="1"/>
      <c r="B28" s="1"/>
      <c r="C28" s="1"/>
      <c r="D28" s="38"/>
      <c r="E28" s="38"/>
      <c r="F28" s="82"/>
      <c r="G28" s="82"/>
      <c r="H28" s="82"/>
      <c r="I28" s="82"/>
      <c r="J28" s="1"/>
    </row>
    <row r="29">
      <c r="A29" s="1"/>
      <c r="B29" s="1"/>
      <c r="C29" s="1"/>
      <c r="D29" s="38"/>
      <c r="E29" s="38"/>
      <c r="F29" s="82"/>
      <c r="G29" s="82"/>
      <c r="H29" s="82"/>
      <c r="I29" s="82"/>
      <c r="J29" s="1"/>
    </row>
    <row r="30">
      <c r="A30" s="1"/>
      <c r="B30" s="1"/>
      <c r="C30" s="1"/>
      <c r="D30" s="38"/>
      <c r="E30" s="38"/>
      <c r="F30" s="82"/>
      <c r="G30" s="82"/>
      <c r="H30" s="82"/>
      <c r="I30" s="82"/>
      <c r="J30" s="1"/>
    </row>
    <row r="31">
      <c r="A31" s="1"/>
      <c r="B31" s="1"/>
      <c r="C31" s="1"/>
      <c r="D31" s="38"/>
      <c r="E31" s="38"/>
      <c r="F31" s="82"/>
      <c r="G31" s="82"/>
      <c r="H31" s="82"/>
      <c r="I31" s="82"/>
      <c r="J31" s="1"/>
    </row>
    <row r="32">
      <c r="A32" s="1"/>
      <c r="B32" s="1"/>
      <c r="C32" s="1"/>
      <c r="D32" s="38"/>
      <c r="E32" s="38"/>
      <c r="F32" s="82"/>
      <c r="G32" s="82"/>
      <c r="H32" s="82"/>
      <c r="I32" s="82"/>
      <c r="J32" s="1"/>
    </row>
    <row r="33">
      <c r="A33" s="1"/>
      <c r="B33" s="1"/>
      <c r="C33" s="1"/>
      <c r="D33" s="38"/>
      <c r="E33" s="38"/>
      <c r="F33" s="82"/>
      <c r="G33" s="82"/>
      <c r="H33" s="82"/>
      <c r="I33" s="82"/>
      <c r="J33" s="1"/>
    </row>
    <row r="34">
      <c r="A34" s="1"/>
      <c r="B34" s="1"/>
      <c r="C34" s="1"/>
      <c r="D34" s="38"/>
      <c r="E34" s="38"/>
      <c r="F34" s="82"/>
      <c r="G34" s="82"/>
      <c r="H34" s="82"/>
      <c r="I34" s="82"/>
      <c r="J34" s="1"/>
    </row>
    <row r="35">
      <c r="A35" s="1"/>
      <c r="B35" s="1"/>
      <c r="C35" s="1"/>
      <c r="D35" s="38"/>
      <c r="E35" s="38"/>
      <c r="F35" s="82"/>
      <c r="G35" s="82"/>
      <c r="H35" s="82"/>
      <c r="I35" s="82"/>
      <c r="J35" s="1"/>
    </row>
  </sheetData>
  <drawing r:id="rId2"/>
  <legacyDrawing r:id="rId3"/>
</worksheet>
</file>